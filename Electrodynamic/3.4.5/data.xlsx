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4.5\"/>
    </mc:Choice>
  </mc:AlternateContent>
  <xr:revisionPtr revIDLastSave="0" documentId="13_ncr:1_{77E96E0C-3C0C-495B-ADB2-8F27AE8ECE1E}" xr6:coauthVersionLast="47" xr6:coauthVersionMax="47" xr10:uidLastSave="{00000000-0000-0000-0000-000000000000}"/>
  <bookViews>
    <workbookView xWindow="10932" yWindow="1548" windowWidth="12108" windowHeight="7524" xr2:uid="{43C180F0-323F-4681-B0BF-09CD24D2135C}"/>
  </bookViews>
  <sheets>
    <sheet name="Лист1" sheetId="1" r:id="rId1"/>
    <sheet name="1" sheetId="2" r:id="rId2"/>
    <sheet name="2" sheetId="3" r:id="rId3"/>
    <sheet name="3" sheetId="4" r:id="rId4"/>
    <sheet name="calX" sheetId="5" r:id="rId5"/>
    <sheet name="calY" sheetId="6" r:id="rId6"/>
    <sheet name="tu" sheetId="7" r:id="rId7"/>
    <sheet name="Лист2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5" l="1"/>
  <c r="E2" i="5"/>
  <c r="G2" i="7"/>
  <c r="D2" i="7"/>
  <c r="C2" i="7"/>
  <c r="E4" i="5"/>
  <c r="D5" i="6"/>
  <c r="D4" i="6"/>
  <c r="D3" i="6"/>
  <c r="D2" i="6"/>
  <c r="B3" i="6"/>
  <c r="B2" i="6"/>
  <c r="E3" i="5"/>
  <c r="F3" i="5" s="1"/>
  <c r="F4" i="5"/>
</calcChain>
</file>

<file path=xl/sharedStrings.xml><?xml version="1.0" encoding="utf-8"?>
<sst xmlns="http://schemas.openxmlformats.org/spreadsheetml/2006/main" count="62" uniqueCount="41">
  <si>
    <t>Ферит 1000нн</t>
  </si>
  <si>
    <t>N0</t>
  </si>
  <si>
    <t>NU</t>
  </si>
  <si>
    <t>S</t>
  </si>
  <si>
    <t>2piR</t>
  </si>
  <si>
    <t>3cm^2</t>
  </si>
  <si>
    <t>25cm</t>
  </si>
  <si>
    <t>2Xs</t>
  </si>
  <si>
    <t>2Ys</t>
  </si>
  <si>
    <t>2Xc</t>
  </si>
  <si>
    <t>2Yc</t>
  </si>
  <si>
    <t>Kx</t>
  </si>
  <si>
    <t>Ky</t>
  </si>
  <si>
    <t>Кремнистое железо</t>
  </si>
  <si>
    <t>2cm^2</t>
  </si>
  <si>
    <t>11cm</t>
  </si>
  <si>
    <t>Пермалой НП50</t>
  </si>
  <si>
    <t>3,8 cm^2</t>
  </si>
  <si>
    <t>24cm</t>
  </si>
  <si>
    <t>X</t>
  </si>
  <si>
    <t>I</t>
  </si>
  <si>
    <t>R</t>
  </si>
  <si>
    <t>U</t>
  </si>
  <si>
    <t>Xd</t>
  </si>
  <si>
    <t>Y</t>
  </si>
  <si>
    <t>Yd</t>
  </si>
  <si>
    <t>Yx</t>
  </si>
  <si>
    <t>V</t>
  </si>
  <si>
    <t>Uin</t>
  </si>
  <si>
    <t>Uout</t>
  </si>
  <si>
    <t>w</t>
  </si>
  <si>
    <t>tau</t>
  </si>
  <si>
    <t>C</t>
  </si>
  <si>
    <t>H</t>
  </si>
  <si>
    <t>B</t>
  </si>
  <si>
    <t>Hs</t>
  </si>
  <si>
    <t>Bs</t>
  </si>
  <si>
    <t>mu</t>
  </si>
  <si>
    <t>mu_m</t>
  </si>
  <si>
    <t>Феррит</t>
  </si>
  <si>
    <t>Пермалой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</si>
</sst>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606-0628-40F8-A83F-DD0D54CA453D}">
  <dimension ref="A1:D6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B1">
        <v>1</v>
      </c>
      <c r="C1">
        <v>2</v>
      </c>
      <c r="D1">
        <v>3</v>
      </c>
    </row>
    <row r="2" spans="1:4" x14ac:dyDescent="0.3">
      <c r="B2" t="s">
        <v>0</v>
      </c>
      <c r="C2" t="s">
        <v>13</v>
      </c>
      <c r="D2" t="s">
        <v>16</v>
      </c>
    </row>
    <row r="3" spans="1:4" x14ac:dyDescent="0.3">
      <c r="A3" t="s">
        <v>1</v>
      </c>
      <c r="B3">
        <v>42</v>
      </c>
      <c r="C3">
        <v>20</v>
      </c>
      <c r="D3">
        <v>40</v>
      </c>
    </row>
    <row r="4" spans="1:4" x14ac:dyDescent="0.3">
      <c r="A4" t="s">
        <v>2</v>
      </c>
      <c r="B4">
        <v>400</v>
      </c>
      <c r="C4">
        <v>200</v>
      </c>
      <c r="D4">
        <v>200</v>
      </c>
    </row>
    <row r="5" spans="1:4" x14ac:dyDescent="0.3">
      <c r="A5" t="s">
        <v>3</v>
      </c>
      <c r="B5" t="s">
        <v>5</v>
      </c>
      <c r="C5" t="s">
        <v>14</v>
      </c>
      <c r="D5" t="s">
        <v>17</v>
      </c>
    </row>
    <row r="6" spans="1:4" x14ac:dyDescent="0.3">
      <c r="A6" t="s">
        <v>4</v>
      </c>
      <c r="B6" t="s">
        <v>6</v>
      </c>
      <c r="C6" t="s">
        <v>15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D66F-810A-45C0-B638-F3F6107719B9}">
  <dimension ref="A1:I9"/>
  <sheetViews>
    <sheetView workbookViewId="0">
      <selection activeCell="C7" sqref="C7"/>
    </sheetView>
  </sheetViews>
  <sheetFormatPr defaultRowHeight="14.4" x14ac:dyDescent="0.3"/>
  <sheetData>
    <row r="1" spans="1:9" x14ac:dyDescent="0.3">
      <c r="B1" t="s">
        <v>7</v>
      </c>
      <c r="C1" t="s">
        <v>11</v>
      </c>
      <c r="D1" t="s">
        <v>8</v>
      </c>
      <c r="E1" t="s">
        <v>12</v>
      </c>
      <c r="F1" t="s">
        <v>9</v>
      </c>
      <c r="G1" t="s">
        <v>11</v>
      </c>
      <c r="H1" t="s">
        <v>10</v>
      </c>
      <c r="I1" t="s">
        <v>12</v>
      </c>
    </row>
    <row r="2" spans="1:9" x14ac:dyDescent="0.3">
      <c r="A2">
        <v>1</v>
      </c>
      <c r="B2">
        <v>41</v>
      </c>
      <c r="C2">
        <v>50</v>
      </c>
      <c r="D2">
        <v>35</v>
      </c>
      <c r="E2">
        <v>20</v>
      </c>
      <c r="F2">
        <v>25</v>
      </c>
      <c r="G2">
        <v>10</v>
      </c>
      <c r="H2">
        <v>30</v>
      </c>
      <c r="I2">
        <v>10</v>
      </c>
    </row>
    <row r="3" spans="1:9" x14ac:dyDescent="0.3">
      <c r="A3">
        <v>2</v>
      </c>
      <c r="B3">
        <v>32</v>
      </c>
      <c r="C3">
        <v>50</v>
      </c>
      <c r="D3">
        <v>33</v>
      </c>
      <c r="E3">
        <v>20</v>
      </c>
    </row>
    <row r="4" spans="1:9" x14ac:dyDescent="0.3">
      <c r="A4">
        <v>3</v>
      </c>
      <c r="B4">
        <v>22</v>
      </c>
      <c r="C4">
        <v>50</v>
      </c>
      <c r="D4">
        <v>31</v>
      </c>
      <c r="E4">
        <v>20</v>
      </c>
    </row>
    <row r="5" spans="1:9" x14ac:dyDescent="0.3">
      <c r="A5">
        <v>4</v>
      </c>
      <c r="B5">
        <v>15</v>
      </c>
      <c r="C5">
        <v>50</v>
      </c>
      <c r="D5">
        <v>25.5</v>
      </c>
      <c r="E5">
        <v>20</v>
      </c>
    </row>
    <row r="6" spans="1:9" x14ac:dyDescent="0.3">
      <c r="A6">
        <v>5</v>
      </c>
      <c r="B6">
        <v>10</v>
      </c>
      <c r="C6">
        <v>50</v>
      </c>
      <c r="D6">
        <v>21</v>
      </c>
      <c r="E6">
        <v>20</v>
      </c>
    </row>
    <row r="7" spans="1:9" x14ac:dyDescent="0.3">
      <c r="A7">
        <v>6</v>
      </c>
      <c r="B7">
        <v>16</v>
      </c>
      <c r="C7">
        <v>20</v>
      </c>
      <c r="D7">
        <v>27.5</v>
      </c>
      <c r="E7">
        <v>10</v>
      </c>
    </row>
    <row r="8" spans="1:9" x14ac:dyDescent="0.3">
      <c r="A8">
        <v>7</v>
      </c>
      <c r="B8">
        <v>15</v>
      </c>
      <c r="C8">
        <v>10</v>
      </c>
      <c r="D8">
        <v>11</v>
      </c>
      <c r="E8">
        <v>10</v>
      </c>
    </row>
    <row r="9" spans="1:9" x14ac:dyDescent="0.3">
      <c r="A9">
        <v>8</v>
      </c>
      <c r="B9">
        <v>4</v>
      </c>
      <c r="C9">
        <v>10</v>
      </c>
      <c r="D9">
        <v>2</v>
      </c>
      <c r="E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0BA-DF32-4657-ACBE-78ABA3EFB369}">
  <dimension ref="A1:I9"/>
  <sheetViews>
    <sheetView workbookViewId="0">
      <selection activeCell="B4" sqref="B4"/>
    </sheetView>
  </sheetViews>
  <sheetFormatPr defaultRowHeight="14.4" x14ac:dyDescent="0.3"/>
  <sheetData>
    <row r="1" spans="1:9" x14ac:dyDescent="0.3">
      <c r="B1" t="s">
        <v>7</v>
      </c>
      <c r="C1" t="s">
        <v>11</v>
      </c>
      <c r="D1" t="s">
        <v>8</v>
      </c>
      <c r="E1" t="s">
        <v>12</v>
      </c>
      <c r="F1" t="s">
        <v>9</v>
      </c>
      <c r="G1" t="s">
        <v>11</v>
      </c>
      <c r="H1" t="s">
        <v>10</v>
      </c>
      <c r="I1" t="s">
        <v>12</v>
      </c>
    </row>
    <row r="2" spans="1:9" x14ac:dyDescent="0.3">
      <c r="A2">
        <v>1</v>
      </c>
      <c r="B2">
        <v>46</v>
      </c>
      <c r="C2">
        <v>50</v>
      </c>
      <c r="D2">
        <v>35</v>
      </c>
      <c r="E2">
        <v>20</v>
      </c>
      <c r="F2">
        <v>10</v>
      </c>
      <c r="G2">
        <v>50</v>
      </c>
      <c r="H2">
        <v>15</v>
      </c>
      <c r="I2">
        <v>20</v>
      </c>
    </row>
    <row r="3" spans="1:9" x14ac:dyDescent="0.3">
      <c r="A3">
        <v>2</v>
      </c>
      <c r="B3">
        <v>38</v>
      </c>
      <c r="C3">
        <v>50</v>
      </c>
      <c r="D3">
        <v>33</v>
      </c>
      <c r="E3">
        <v>20</v>
      </c>
    </row>
    <row r="4" spans="1:9" x14ac:dyDescent="0.3">
      <c r="A4">
        <v>3</v>
      </c>
      <c r="B4">
        <v>32</v>
      </c>
      <c r="C4">
        <v>50</v>
      </c>
      <c r="D4">
        <v>30</v>
      </c>
      <c r="E4">
        <v>20</v>
      </c>
    </row>
    <row r="5" spans="1:9" x14ac:dyDescent="0.3">
      <c r="A5">
        <v>4</v>
      </c>
      <c r="B5">
        <v>22</v>
      </c>
      <c r="C5">
        <v>50</v>
      </c>
      <c r="D5">
        <v>25</v>
      </c>
      <c r="E5">
        <v>20</v>
      </c>
    </row>
    <row r="6" spans="1:9" x14ac:dyDescent="0.3">
      <c r="A6">
        <v>5</v>
      </c>
      <c r="B6">
        <v>14</v>
      </c>
      <c r="C6">
        <v>50</v>
      </c>
      <c r="D6">
        <v>20</v>
      </c>
      <c r="E6">
        <v>20</v>
      </c>
    </row>
    <row r="7" spans="1:9" x14ac:dyDescent="0.3">
      <c r="A7">
        <v>6</v>
      </c>
      <c r="B7">
        <v>21</v>
      </c>
      <c r="C7">
        <v>20</v>
      </c>
      <c r="D7">
        <v>24</v>
      </c>
      <c r="E7">
        <v>10</v>
      </c>
    </row>
    <row r="8" spans="1:9" x14ac:dyDescent="0.3">
      <c r="A8">
        <v>7</v>
      </c>
      <c r="B8">
        <v>8</v>
      </c>
      <c r="C8">
        <v>20</v>
      </c>
      <c r="D8">
        <v>10</v>
      </c>
      <c r="E8">
        <v>10</v>
      </c>
    </row>
    <row r="9" spans="1:9" x14ac:dyDescent="0.3">
      <c r="A9">
        <v>8</v>
      </c>
      <c r="B9">
        <v>6</v>
      </c>
      <c r="C9">
        <v>20</v>
      </c>
      <c r="D9">
        <v>3</v>
      </c>
      <c r="E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9F9E-E906-424A-8D98-82519BFE01D2}">
  <dimension ref="A1:I9"/>
  <sheetViews>
    <sheetView workbookViewId="0">
      <selection activeCell="B9" sqref="B9"/>
    </sheetView>
  </sheetViews>
  <sheetFormatPr defaultRowHeight="14.4" x14ac:dyDescent="0.3"/>
  <sheetData>
    <row r="1" spans="1:9" x14ac:dyDescent="0.3">
      <c r="B1" t="s">
        <v>7</v>
      </c>
      <c r="C1" t="s">
        <v>11</v>
      </c>
      <c r="D1" t="s">
        <v>8</v>
      </c>
      <c r="E1" t="s">
        <v>12</v>
      </c>
      <c r="F1" t="s">
        <v>9</v>
      </c>
      <c r="G1" t="s">
        <v>11</v>
      </c>
      <c r="H1" t="s">
        <v>10</v>
      </c>
      <c r="I1" t="s">
        <v>12</v>
      </c>
    </row>
    <row r="2" spans="1:9" x14ac:dyDescent="0.3">
      <c r="A2">
        <v>1</v>
      </c>
      <c r="B2">
        <v>32</v>
      </c>
      <c r="C2">
        <v>20</v>
      </c>
      <c r="D2">
        <v>19</v>
      </c>
      <c r="E2">
        <v>100</v>
      </c>
      <c r="F2">
        <v>31</v>
      </c>
      <c r="G2">
        <v>20</v>
      </c>
      <c r="H2">
        <v>18</v>
      </c>
      <c r="I2">
        <v>100</v>
      </c>
    </row>
    <row r="3" spans="1:9" x14ac:dyDescent="0.3">
      <c r="A3">
        <v>2</v>
      </c>
      <c r="B3">
        <v>23</v>
      </c>
      <c r="C3">
        <v>20</v>
      </c>
      <c r="D3">
        <v>19</v>
      </c>
      <c r="E3">
        <v>100</v>
      </c>
    </row>
    <row r="4" spans="1:9" x14ac:dyDescent="0.3">
      <c r="A4">
        <v>3</v>
      </c>
      <c r="B4">
        <v>14</v>
      </c>
      <c r="C4">
        <v>20</v>
      </c>
      <c r="D4">
        <v>18</v>
      </c>
      <c r="E4">
        <v>100</v>
      </c>
    </row>
    <row r="5" spans="1:9" x14ac:dyDescent="0.3">
      <c r="A5">
        <v>4</v>
      </c>
      <c r="B5">
        <v>7</v>
      </c>
      <c r="C5">
        <v>20</v>
      </c>
      <c r="D5">
        <v>12</v>
      </c>
      <c r="E5">
        <v>100</v>
      </c>
    </row>
    <row r="6" spans="1:9" x14ac:dyDescent="0.3">
      <c r="A6">
        <v>5</v>
      </c>
      <c r="B6">
        <v>6.8</v>
      </c>
      <c r="C6">
        <v>20</v>
      </c>
      <c r="D6">
        <v>10</v>
      </c>
      <c r="E6">
        <v>100</v>
      </c>
    </row>
    <row r="7" spans="1:9" x14ac:dyDescent="0.3">
      <c r="A7">
        <v>6</v>
      </c>
      <c r="B7">
        <v>13</v>
      </c>
      <c r="C7">
        <v>10</v>
      </c>
      <c r="D7">
        <v>10</v>
      </c>
      <c r="E7">
        <v>50</v>
      </c>
    </row>
    <row r="8" spans="1:9" x14ac:dyDescent="0.3">
      <c r="A8">
        <v>7</v>
      </c>
      <c r="B8">
        <v>12.8</v>
      </c>
      <c r="C8">
        <v>10</v>
      </c>
      <c r="D8">
        <v>4</v>
      </c>
      <c r="E8">
        <v>50</v>
      </c>
    </row>
    <row r="9" spans="1:9" x14ac:dyDescent="0.3">
      <c r="A9">
        <v>8</v>
      </c>
      <c r="B9">
        <v>11</v>
      </c>
      <c r="C9">
        <v>10</v>
      </c>
      <c r="D9">
        <v>2</v>
      </c>
      <c r="E9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4D7E-92CE-4429-BFF1-AF2234019BE6}">
  <dimension ref="A1:F4"/>
  <sheetViews>
    <sheetView workbookViewId="0">
      <selection activeCell="D2" sqref="D2"/>
    </sheetView>
  </sheetViews>
  <sheetFormatPr defaultRowHeight="14.4" x14ac:dyDescent="0.3"/>
  <sheetData>
    <row r="1" spans="1:6" x14ac:dyDescent="0.3">
      <c r="A1" t="s">
        <v>11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>
        <v>10</v>
      </c>
      <c r="B2">
        <v>47</v>
      </c>
      <c r="C2">
        <v>0.215</v>
      </c>
      <c r="D2">
        <v>220</v>
      </c>
      <c r="E2">
        <f>D2*C2</f>
        <v>47.3</v>
      </c>
      <c r="F2">
        <f>E2*1.41/B2</f>
        <v>1.419</v>
      </c>
    </row>
    <row r="3" spans="1:6" x14ac:dyDescent="0.3">
      <c r="A3">
        <v>20</v>
      </c>
      <c r="B3">
        <v>49</v>
      </c>
      <c r="C3">
        <v>0.45</v>
      </c>
      <c r="D3">
        <v>220</v>
      </c>
      <c r="E3">
        <f t="shared" ref="E3" si="0">D3*C3</f>
        <v>99</v>
      </c>
      <c r="F3">
        <f t="shared" ref="F3:F4" si="1">E3*1.41/B3</f>
        <v>2.8487755102040815</v>
      </c>
    </row>
    <row r="4" spans="1:6" x14ac:dyDescent="0.3">
      <c r="A4">
        <v>50</v>
      </c>
      <c r="B4">
        <v>49</v>
      </c>
      <c r="C4">
        <v>1.151</v>
      </c>
      <c r="D4">
        <v>220</v>
      </c>
      <c r="E4">
        <f>D4*C4</f>
        <v>253.22</v>
      </c>
      <c r="F4">
        <f t="shared" si="1"/>
        <v>7.2865346938775506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37F7-D40E-4E67-8F13-06C5E098355D}">
  <dimension ref="A1:D5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26</v>
      </c>
      <c r="B1" t="s">
        <v>24</v>
      </c>
      <c r="C1" t="s">
        <v>27</v>
      </c>
      <c r="D1" t="s">
        <v>25</v>
      </c>
    </row>
    <row r="2" spans="1:4" x14ac:dyDescent="0.3">
      <c r="A2">
        <v>10</v>
      </c>
      <c r="B2">
        <f>40-6</f>
        <v>34</v>
      </c>
      <c r="C2">
        <v>24.92</v>
      </c>
      <c r="D2">
        <f>C2*1.41/B2</f>
        <v>1.0334470588235294</v>
      </c>
    </row>
    <row r="3" spans="1:4" x14ac:dyDescent="0.3">
      <c r="A3">
        <v>20</v>
      </c>
      <c r="B3">
        <f>32</f>
        <v>32</v>
      </c>
      <c r="C3">
        <v>44.6</v>
      </c>
      <c r="D3">
        <f>C3*1.41/B3</f>
        <v>1.9651874999999999</v>
      </c>
    </row>
    <row r="4" spans="1:4" x14ac:dyDescent="0.3">
      <c r="A4">
        <v>50</v>
      </c>
      <c r="B4">
        <v>46</v>
      </c>
      <c r="C4">
        <v>126.71</v>
      </c>
      <c r="D4">
        <f>C4*1.41/B4</f>
        <v>3.8839369565217385</v>
      </c>
    </row>
    <row r="5" spans="1:4" x14ac:dyDescent="0.3">
      <c r="A5">
        <v>100</v>
      </c>
      <c r="B5">
        <v>20</v>
      </c>
      <c r="C5">
        <v>138.5</v>
      </c>
      <c r="D5">
        <f>C5*1.41/B5</f>
        <v>9.7642500000000005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4718-4392-4625-A7FF-4924F950AA45}">
  <dimension ref="A1:G2"/>
  <sheetViews>
    <sheetView workbookViewId="0">
      <selection activeCell="G2" sqref="G2"/>
    </sheetView>
  </sheetViews>
  <sheetFormatPr defaultRowHeight="14.4" x14ac:dyDescent="0.3"/>
  <sheetData>
    <row r="1" spans="1:7" x14ac:dyDescent="0.3">
      <c r="A1" t="s">
        <v>28</v>
      </c>
      <c r="B1" t="s">
        <v>29</v>
      </c>
      <c r="C1" t="s">
        <v>30</v>
      </c>
      <c r="D1" t="s">
        <v>31</v>
      </c>
      <c r="E1" t="s">
        <v>21</v>
      </c>
      <c r="F1" t="s">
        <v>32</v>
      </c>
    </row>
    <row r="2" spans="1:7" x14ac:dyDescent="0.3">
      <c r="A2">
        <v>6.85</v>
      </c>
      <c r="B2">
        <v>5.3999999999999999E-2</v>
      </c>
      <c r="C2">
        <f>2*PI()*50</f>
        <v>314.15926535897933</v>
      </c>
      <c r="D2">
        <f>A2/(B2*C2)</f>
        <v>0.40378198525166037</v>
      </c>
      <c r="E2">
        <v>20000</v>
      </c>
      <c r="F2" s="1">
        <v>2.0000000000000002E-5</v>
      </c>
      <c r="G2" s="1">
        <f>F2*E2</f>
        <v>0.4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2F1F-931B-4F2D-89AB-D44DB5262C73}">
  <dimension ref="A1:G4"/>
  <sheetViews>
    <sheetView workbookViewId="0">
      <selection activeCell="E2" sqref="E2"/>
    </sheetView>
  </sheetViews>
  <sheetFormatPr defaultRowHeight="14.4" x14ac:dyDescent="0.3"/>
  <sheetData>
    <row r="1" spans="1:7" x14ac:dyDescent="0.3"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39</v>
      </c>
      <c r="B2" s="2">
        <v>0.114</v>
      </c>
      <c r="C2">
        <v>0.115</v>
      </c>
      <c r="D2">
        <v>1.2999999999999999E-2</v>
      </c>
      <c r="E2">
        <v>5.1999999999999998E-2</v>
      </c>
      <c r="F2">
        <v>0.26200000000000001</v>
      </c>
      <c r="G2">
        <v>2.782</v>
      </c>
    </row>
    <row r="3" spans="1:7" x14ac:dyDescent="0.3">
      <c r="A3" t="s">
        <v>13</v>
      </c>
      <c r="B3">
        <v>0.13900000000000001</v>
      </c>
      <c r="C3">
        <v>0.34399999999999997</v>
      </c>
      <c r="D3">
        <v>0.03</v>
      </c>
      <c r="E3">
        <v>0.14699999999999999</v>
      </c>
      <c r="F3">
        <v>0.81599999999999995</v>
      </c>
      <c r="G3">
        <v>15.36</v>
      </c>
    </row>
    <row r="4" spans="1:7" x14ac:dyDescent="0.3">
      <c r="A4" t="s">
        <v>40</v>
      </c>
      <c r="B4">
        <v>3.4000000000000002E-2</v>
      </c>
      <c r="C4">
        <v>0.48799999999999999</v>
      </c>
      <c r="D4">
        <v>3.3000000000000002E-2</v>
      </c>
      <c r="E4">
        <v>0.46</v>
      </c>
      <c r="F4">
        <v>0</v>
      </c>
      <c r="G4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1</vt:lpstr>
      <vt:lpstr>2</vt:lpstr>
      <vt:lpstr>3</vt:lpstr>
      <vt:lpstr>calX</vt:lpstr>
      <vt:lpstr>calY</vt:lpstr>
      <vt:lpstr>tu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2025-11-29T06:45:52Z</dcterms:created>
  <dcterms:modified xsi:type="dcterms:W3CDTF">2025-12-14T09:27:39Z</dcterms:modified>
</cp:coreProperties>
</file>