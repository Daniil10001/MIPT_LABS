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s\MIPT_Labs\Electrodynamic\3.2.6\"/>
    </mc:Choice>
  </mc:AlternateContent>
  <xr:revisionPtr revIDLastSave="0" documentId="13_ncr:1_{BAC18953-0C31-41C4-B792-369422B6D2AA}" xr6:coauthVersionLast="47" xr6:coauthVersionMax="47" xr10:uidLastSave="{00000000-0000-0000-0000-000000000000}"/>
  <bookViews>
    <workbookView xWindow="-108" yWindow="-108" windowWidth="23256" windowHeight="12576" xr2:uid="{F262D2D4-AA25-48A2-ADDD-3FEB380CFFA0}"/>
  </bookViews>
  <sheets>
    <sheet name="I" sheetId="1" r:id="rId1"/>
    <sheet name="Лист2" sheetId="2" r:id="rId2"/>
    <sheet name="Dec" sheetId="4" r:id="rId3"/>
    <sheet name="Лист3" sheetId="3" r:id="rId4"/>
    <sheet name="Лист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G3" i="1" s="1"/>
  <c r="F4" i="1"/>
  <c r="G4" i="1" s="1"/>
  <c r="F5" i="1"/>
  <c r="F6" i="1"/>
  <c r="F7" i="1"/>
  <c r="F8" i="1"/>
  <c r="F9" i="1"/>
  <c r="F10" i="1"/>
  <c r="F11" i="1"/>
  <c r="F2" i="1"/>
  <c r="G2" i="1" s="1"/>
  <c r="G10" i="1"/>
  <c r="G11" i="1"/>
  <c r="K3" i="1"/>
  <c r="K4" i="1"/>
  <c r="K5" i="1"/>
  <c r="K6" i="1"/>
  <c r="K7" i="1"/>
  <c r="K8" i="1"/>
  <c r="K9" i="1"/>
  <c r="K10" i="1"/>
  <c r="K11" i="1"/>
  <c r="K2" i="1"/>
  <c r="G7" i="1"/>
  <c r="J3" i="1"/>
  <c r="J4" i="1"/>
  <c r="J5" i="1"/>
  <c r="J6" i="1"/>
  <c r="J7" i="1"/>
  <c r="J8" i="1"/>
  <c r="J9" i="1"/>
  <c r="J10" i="1"/>
  <c r="J11" i="1"/>
  <c r="J2" i="1"/>
  <c r="G6" i="1"/>
  <c r="G5" i="1"/>
  <c r="G8" i="1"/>
  <c r="G9" i="1"/>
  <c r="E23" i="4"/>
  <c r="E22" i="4"/>
  <c r="E20" i="4"/>
  <c r="E21" i="4"/>
  <c r="B20" i="4"/>
  <c r="F19" i="4"/>
  <c r="E19" i="4"/>
  <c r="E18" i="4"/>
  <c r="E17" i="4"/>
  <c r="E16" i="4"/>
  <c r="E15" i="4"/>
  <c r="E14" i="4"/>
  <c r="E11" i="4"/>
  <c r="E10" i="4"/>
  <c r="E9" i="4"/>
  <c r="E8" i="4"/>
  <c r="F9" i="4" s="1"/>
  <c r="E13" i="4"/>
  <c r="E12" i="4"/>
  <c r="E4" i="4"/>
  <c r="E5" i="4"/>
  <c r="E6" i="4"/>
  <c r="E7" i="4"/>
  <c r="B2" i="4"/>
  <c r="G2" i="3"/>
  <c r="E3" i="4"/>
  <c r="E2" i="4"/>
  <c r="C2" i="3"/>
  <c r="F2" i="3" s="1"/>
  <c r="B2" i="3"/>
  <c r="A3" i="1"/>
  <c r="A4" i="1"/>
  <c r="A5" i="1"/>
  <c r="A6" i="1"/>
  <c r="A7" i="1"/>
  <c r="A8" i="1"/>
  <c r="A9" i="1"/>
  <c r="A10" i="1"/>
  <c r="A11" i="1"/>
  <c r="D3" i="2"/>
  <c r="C2" i="2"/>
  <c r="C3" i="2"/>
  <c r="D4" i="2" s="1"/>
  <c r="C4" i="2"/>
  <c r="A2" i="1"/>
  <c r="F23" i="4" l="1"/>
  <c r="F21" i="4"/>
  <c r="F17" i="4"/>
  <c r="F15" i="4"/>
  <c r="F11" i="4"/>
  <c r="F13" i="4"/>
  <c r="F5" i="4"/>
  <c r="F7" i="4"/>
  <c r="F3" i="4"/>
</calcChain>
</file>

<file path=xl/sharedStrings.xml><?xml version="1.0" encoding="utf-8"?>
<sst xmlns="http://schemas.openxmlformats.org/spreadsheetml/2006/main" count="33" uniqueCount="23">
  <si>
    <t>U</t>
  </si>
  <si>
    <t>R1/R2</t>
  </si>
  <si>
    <t>R_0</t>
  </si>
  <si>
    <t>R</t>
  </si>
  <si>
    <t>R2</t>
  </si>
  <si>
    <t>R2/R1</t>
  </si>
  <si>
    <t>dx</t>
  </si>
  <si>
    <t>delt</t>
  </si>
  <si>
    <t>T</t>
  </si>
  <si>
    <t>ed</t>
  </si>
  <si>
    <t>R0</t>
  </si>
  <si>
    <t>R1</t>
  </si>
  <si>
    <t>Rkr</t>
  </si>
  <si>
    <t>inf</t>
  </si>
  <si>
    <t>x</t>
  </si>
  <si>
    <t>r1/r2</t>
  </si>
  <si>
    <t>1/70</t>
  </si>
  <si>
    <t>d</t>
  </si>
  <si>
    <t>2мкФ</t>
  </si>
  <si>
    <t>1/5000</t>
  </si>
  <si>
    <t>I</t>
  </si>
  <si>
    <t>L</t>
  </si>
  <si>
    <t>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</si>
</sst>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2" fontId="0" fillId="0" borderId="0" xfId="0" applyNumberForma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I!$J$1</c:f>
              <c:strCache>
                <c:ptCount val="1"/>
                <c:pt idx="0">
                  <c:v>fi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I!$G$2:$G$11</c:f>
              <c:numCache>
                <c:formatCode>General</c:formatCode>
                <c:ptCount val="10"/>
                <c:pt idx="0">
                  <c:v>5.6053811659192826E-5</c:v>
                </c:pt>
                <c:pt idx="1">
                  <c:v>5.880047040376323E-5</c:v>
                </c:pt>
                <c:pt idx="2">
                  <c:v>6.1830173124484742E-5</c:v>
                </c:pt>
                <c:pt idx="3">
                  <c:v>6.5189048239895696E-5</c:v>
                </c:pt>
                <c:pt idx="4">
                  <c:v>6.8933823529411764E-5</c:v>
                </c:pt>
                <c:pt idx="5">
                  <c:v>7.3135056070209656E-5</c:v>
                </c:pt>
                <c:pt idx="6">
                  <c:v>7.7881619937694707E-5</c:v>
                </c:pt>
                <c:pt idx="7">
                  <c:v>8.3287062742920591E-5</c:v>
                </c:pt>
                <c:pt idx="8">
                  <c:v>8.9498806682577564E-5</c:v>
                </c:pt>
                <c:pt idx="9">
                  <c:v>9.6711798839458412E-5</c:v>
                </c:pt>
              </c:numCache>
            </c:numRef>
          </c:xVal>
          <c:yVal>
            <c:numRef>
              <c:f>I!$J$2:$J$11</c:f>
              <c:numCache>
                <c:formatCode>General</c:formatCode>
                <c:ptCount val="10"/>
                <c:pt idx="0">
                  <c:v>2.2807017543859651E-2</c:v>
                </c:pt>
                <c:pt idx="1">
                  <c:v>2.456140350877193E-2</c:v>
                </c:pt>
                <c:pt idx="2">
                  <c:v>2.7017543859649124E-2</c:v>
                </c:pt>
                <c:pt idx="3">
                  <c:v>2.9824561403508771E-2</c:v>
                </c:pt>
                <c:pt idx="4">
                  <c:v>3.2140350877192983E-2</c:v>
                </c:pt>
                <c:pt idx="5">
                  <c:v>3.8596491228070177E-2</c:v>
                </c:pt>
                <c:pt idx="6">
                  <c:v>4.2807017543859648E-2</c:v>
                </c:pt>
                <c:pt idx="7">
                  <c:v>5.75438596491228E-2</c:v>
                </c:pt>
                <c:pt idx="8">
                  <c:v>7.7894736842105267E-2</c:v>
                </c:pt>
                <c:pt idx="9">
                  <c:v>0.12350877192982457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3C-4A71-8580-7F88E91EF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059608"/>
        <c:axId val="592056368"/>
      </c:scatterChart>
      <c:valAx>
        <c:axId val="592059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2056368"/>
        <c:crosses val="autoZero"/>
        <c:crossBetween val="midCat"/>
      </c:valAx>
      <c:valAx>
        <c:axId val="59205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2059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548640</xdr:colOff>
      <xdr:row>12</xdr:row>
      <xdr:rowOff>163830</xdr:rowOff>
    </xdr:from>
    <xdr:to>
      <xdr:col>9</xdr:col>
      <xdr:colOff>243840</xdr:colOff>
      <xdr:row>27</xdr:row>
      <xdr:rowOff>163830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7A6CBAE-9CAF-7F4B-4F08-DA01F692B6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E9073-D79F-4C65-9217-DCF520C8974D}">
  <dimension ref="A1:K11"/>
  <sheetViews>
    <sheetView tabSelected="1" workbookViewId="0">
      <selection activeCell="G11" sqref="G11"/>
    </sheetView>
  </sheetViews>
  <sheetFormatPr defaultRowHeight="14.4" x14ac:dyDescent="0.3"/>
  <sheetData>
    <row r="1" spans="1:11" x14ac:dyDescent="0.3">
      <c r="A1" t="s">
        <v>0</v>
      </c>
      <c r="B1" t="s">
        <v>4</v>
      </c>
      <c r="C1" t="s">
        <v>5</v>
      </c>
      <c r="D1" t="s">
        <v>3</v>
      </c>
      <c r="E1" t="s">
        <v>2</v>
      </c>
      <c r="F1" t="s">
        <v>3</v>
      </c>
      <c r="G1" t="s">
        <v>20</v>
      </c>
      <c r="H1" t="s">
        <v>21</v>
      </c>
      <c r="I1" t="s">
        <v>6</v>
      </c>
      <c r="J1" t="s">
        <v>22</v>
      </c>
    </row>
    <row r="2" spans="1:11" x14ac:dyDescent="0.3">
      <c r="A2">
        <f>3*60/150</f>
        <v>1.2</v>
      </c>
      <c r="B2">
        <v>10000</v>
      </c>
      <c r="C2">
        <v>5000</v>
      </c>
      <c r="D2">
        <v>10000</v>
      </c>
      <c r="E2">
        <v>610</v>
      </c>
      <c r="F2">
        <f>E2+D2+B2-B2/C2+800</f>
        <v>21408</v>
      </c>
      <c r="G2">
        <f>A2/F2</f>
        <v>5.6053811659192826E-5</v>
      </c>
      <c r="H2">
        <v>142.5</v>
      </c>
      <c r="I2">
        <v>3.25</v>
      </c>
      <c r="J2">
        <f>I2/H2</f>
        <v>2.2807017543859651E-2</v>
      </c>
      <c r="K2">
        <f xml:space="preserve"> ATAN2(H2,I2)</f>
        <v>2.2803064344441248E-2</v>
      </c>
    </row>
    <row r="3" spans="1:11" x14ac:dyDescent="0.3">
      <c r="A3">
        <f t="shared" ref="A3:A11" si="0">3*60/150</f>
        <v>1.2</v>
      </c>
      <c r="B3">
        <v>10000</v>
      </c>
      <c r="C3">
        <v>5000</v>
      </c>
      <c r="D3">
        <v>9000</v>
      </c>
      <c r="E3">
        <v>610</v>
      </c>
      <c r="F3">
        <f t="shared" ref="F3:F11" si="1">E3+D3+B3-B3/C3+800</f>
        <v>20408</v>
      </c>
      <c r="G3">
        <f t="shared" ref="G3:G10" si="2">A3/F3</f>
        <v>5.880047040376323E-5</v>
      </c>
      <c r="H3">
        <v>142.5</v>
      </c>
      <c r="I3">
        <v>3.5</v>
      </c>
      <c r="J3">
        <f t="shared" ref="J3:J11" si="3">I3/H3</f>
        <v>2.456140350877193E-2</v>
      </c>
      <c r="K3">
        <f t="shared" ref="K3:K11" si="4" xml:space="preserve"> ATAN2(H3,I3)</f>
        <v>2.4556466304132579E-2</v>
      </c>
    </row>
    <row r="4" spans="1:11" x14ac:dyDescent="0.3">
      <c r="A4">
        <f t="shared" si="0"/>
        <v>1.2</v>
      </c>
      <c r="B4">
        <v>10000</v>
      </c>
      <c r="C4">
        <v>5000</v>
      </c>
      <c r="D4">
        <v>8000</v>
      </c>
      <c r="E4">
        <v>610</v>
      </c>
      <c r="F4">
        <f t="shared" si="1"/>
        <v>19408</v>
      </c>
      <c r="G4">
        <f t="shared" si="2"/>
        <v>6.1830173124484742E-5</v>
      </c>
      <c r="H4">
        <v>142.5</v>
      </c>
      <c r="I4">
        <v>3.85</v>
      </c>
      <c r="J4">
        <f t="shared" si="3"/>
        <v>2.7017543859649124E-2</v>
      </c>
      <c r="K4">
        <f t="shared" si="4"/>
        <v>2.7010972939480148E-2</v>
      </c>
    </row>
    <row r="5" spans="1:11" x14ac:dyDescent="0.3">
      <c r="A5">
        <f t="shared" si="0"/>
        <v>1.2</v>
      </c>
      <c r="B5">
        <v>10000</v>
      </c>
      <c r="C5">
        <v>5000</v>
      </c>
      <c r="D5">
        <v>7000</v>
      </c>
      <c r="E5">
        <v>610</v>
      </c>
      <c r="F5">
        <f t="shared" si="1"/>
        <v>18408</v>
      </c>
      <c r="G5">
        <f t="shared" si="2"/>
        <v>6.5189048239895696E-5</v>
      </c>
      <c r="H5">
        <v>142.5</v>
      </c>
      <c r="I5">
        <v>4.25</v>
      </c>
      <c r="J5">
        <f t="shared" si="3"/>
        <v>2.9824561403508771E-2</v>
      </c>
      <c r="K5">
        <f t="shared" si="4"/>
        <v>2.9815723093235057E-2</v>
      </c>
    </row>
    <row r="6" spans="1:11" x14ac:dyDescent="0.3">
      <c r="A6">
        <f t="shared" si="0"/>
        <v>1.2</v>
      </c>
      <c r="B6">
        <v>10000</v>
      </c>
      <c r="C6">
        <v>5000</v>
      </c>
      <c r="D6">
        <v>6000</v>
      </c>
      <c r="E6">
        <v>610</v>
      </c>
      <c r="F6">
        <f t="shared" si="1"/>
        <v>17408</v>
      </c>
      <c r="G6">
        <f t="shared" si="2"/>
        <v>6.8933823529411764E-5</v>
      </c>
      <c r="H6">
        <v>142.5</v>
      </c>
      <c r="I6">
        <v>4.58</v>
      </c>
      <c r="J6">
        <f t="shared" si="3"/>
        <v>3.2140350877192983E-2</v>
      </c>
      <c r="K6">
        <f t="shared" si="4"/>
        <v>3.2129290714253127E-2</v>
      </c>
    </row>
    <row r="7" spans="1:11" x14ac:dyDescent="0.3">
      <c r="A7">
        <f t="shared" si="0"/>
        <v>1.2</v>
      </c>
      <c r="B7">
        <v>10000</v>
      </c>
      <c r="C7">
        <v>5000</v>
      </c>
      <c r="D7">
        <v>5000</v>
      </c>
      <c r="E7">
        <v>610</v>
      </c>
      <c r="F7">
        <f t="shared" si="1"/>
        <v>16408</v>
      </c>
      <c r="G7">
        <f t="shared" si="2"/>
        <v>7.3135056070209656E-5</v>
      </c>
      <c r="H7">
        <v>142.5</v>
      </c>
      <c r="I7">
        <v>5.5</v>
      </c>
      <c r="J7">
        <f t="shared" si="3"/>
        <v>3.8596491228070177E-2</v>
      </c>
      <c r="K7">
        <f t="shared" si="4"/>
        <v>3.8577342749115118E-2</v>
      </c>
    </row>
    <row r="8" spans="1:11" x14ac:dyDescent="0.3">
      <c r="A8">
        <f t="shared" si="0"/>
        <v>1.2</v>
      </c>
      <c r="B8">
        <v>10000</v>
      </c>
      <c r="C8">
        <v>5000</v>
      </c>
      <c r="D8">
        <v>4000</v>
      </c>
      <c r="E8">
        <v>610</v>
      </c>
      <c r="F8">
        <f t="shared" si="1"/>
        <v>15408</v>
      </c>
      <c r="G8">
        <f t="shared" si="2"/>
        <v>7.7881619937694707E-5</v>
      </c>
      <c r="H8">
        <v>142.5</v>
      </c>
      <c r="I8">
        <v>6.1</v>
      </c>
      <c r="J8">
        <f t="shared" si="3"/>
        <v>4.2807017543859648E-2</v>
      </c>
      <c r="K8">
        <f t="shared" si="4"/>
        <v>4.2780899146309025E-2</v>
      </c>
    </row>
    <row r="9" spans="1:11" x14ac:dyDescent="0.3">
      <c r="A9">
        <f t="shared" si="0"/>
        <v>1.2</v>
      </c>
      <c r="B9">
        <v>10000</v>
      </c>
      <c r="C9">
        <v>5000</v>
      </c>
      <c r="D9">
        <v>3000</v>
      </c>
      <c r="E9">
        <v>610</v>
      </c>
      <c r="F9">
        <f t="shared" si="1"/>
        <v>14408</v>
      </c>
      <c r="G9">
        <f t="shared" si="2"/>
        <v>8.3287062742920591E-5</v>
      </c>
      <c r="H9">
        <v>142.5</v>
      </c>
      <c r="I9">
        <v>8.1999999999999993</v>
      </c>
      <c r="J9">
        <f t="shared" si="3"/>
        <v>5.75438596491228E-2</v>
      </c>
      <c r="K9">
        <f t="shared" si="4"/>
        <v>5.7480470628151432E-2</v>
      </c>
    </row>
    <row r="10" spans="1:11" x14ac:dyDescent="0.3">
      <c r="A10">
        <f t="shared" si="0"/>
        <v>1.2</v>
      </c>
      <c r="B10">
        <v>10000</v>
      </c>
      <c r="C10">
        <v>5000</v>
      </c>
      <c r="D10">
        <v>2000</v>
      </c>
      <c r="E10">
        <v>610</v>
      </c>
      <c r="F10">
        <f t="shared" si="1"/>
        <v>13408</v>
      </c>
      <c r="G10">
        <f t="shared" si="2"/>
        <v>8.9498806682577564E-5</v>
      </c>
      <c r="H10">
        <v>142.5</v>
      </c>
      <c r="I10">
        <v>11.1</v>
      </c>
      <c r="J10">
        <f t="shared" si="3"/>
        <v>7.7894736842105267E-2</v>
      </c>
      <c r="K10">
        <f t="shared" si="4"/>
        <v>7.7737763474250293E-2</v>
      </c>
    </row>
    <row r="11" spans="1:11" x14ac:dyDescent="0.3">
      <c r="A11">
        <f t="shared" si="0"/>
        <v>1.2</v>
      </c>
      <c r="B11">
        <v>10000</v>
      </c>
      <c r="C11">
        <v>5000</v>
      </c>
      <c r="D11">
        <v>1000</v>
      </c>
      <c r="E11">
        <v>610</v>
      </c>
      <c r="F11">
        <f t="shared" si="1"/>
        <v>12408</v>
      </c>
      <c r="G11">
        <f>A11/F11</f>
        <v>9.6711798839458412E-5</v>
      </c>
      <c r="H11">
        <v>142.5</v>
      </c>
      <c r="I11">
        <v>17.600000000000001</v>
      </c>
      <c r="J11">
        <f t="shared" si="3"/>
        <v>0.12350877192982457</v>
      </c>
      <c r="K11">
        <f t="shared" si="4"/>
        <v>0.12288643997014023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6E856-1A94-49AA-8294-6FDF78475582}">
  <dimension ref="A1:F4"/>
  <sheetViews>
    <sheetView workbookViewId="0">
      <selection activeCell="E3" sqref="E3"/>
    </sheetView>
  </sheetViews>
  <sheetFormatPr defaultRowHeight="14.4" x14ac:dyDescent="0.3"/>
  <sheetData>
    <row r="1" spans="1:6" x14ac:dyDescent="0.3">
      <c r="A1" t="s">
        <v>7</v>
      </c>
      <c r="B1" t="s">
        <v>6</v>
      </c>
      <c r="F1" t="s">
        <v>8</v>
      </c>
    </row>
    <row r="2" spans="1:6" x14ac:dyDescent="0.3">
      <c r="A2">
        <v>0.2</v>
      </c>
      <c r="B2">
        <v>14.6</v>
      </c>
      <c r="C2">
        <f>B2-A2</f>
        <v>14.4</v>
      </c>
      <c r="E2" s="3" t="s">
        <v>19</v>
      </c>
      <c r="F2">
        <v>3.3</v>
      </c>
    </row>
    <row r="3" spans="1:6" x14ac:dyDescent="0.3">
      <c r="A3">
        <v>0.2</v>
      </c>
      <c r="B3">
        <v>12.6</v>
      </c>
      <c r="C3">
        <f>B3-A3</f>
        <v>12.4</v>
      </c>
      <c r="D3">
        <f>LN(C2/C3)</f>
        <v>0.14953173397096384</v>
      </c>
      <c r="F3" t="s">
        <v>9</v>
      </c>
    </row>
    <row r="4" spans="1:6" x14ac:dyDescent="0.3">
      <c r="A4">
        <v>0.2</v>
      </c>
      <c r="B4">
        <v>10.8</v>
      </c>
      <c r="C4">
        <f>B4-A4</f>
        <v>10.600000000000001</v>
      </c>
      <c r="D4">
        <f>LN(C3/C4)</f>
        <v>0.15684247149296968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28202-C128-4F5D-B213-FB952124C7FC}">
  <dimension ref="A1:F23"/>
  <sheetViews>
    <sheetView workbookViewId="0">
      <selection activeCell="F19" sqref="F19"/>
    </sheetView>
  </sheetViews>
  <sheetFormatPr defaultRowHeight="14.4" x14ac:dyDescent="0.3"/>
  <sheetData>
    <row r="1" spans="1:6" x14ac:dyDescent="0.3">
      <c r="A1" t="s">
        <v>3</v>
      </c>
      <c r="B1" t="s">
        <v>1</v>
      </c>
      <c r="C1" t="s">
        <v>7</v>
      </c>
      <c r="D1" t="s">
        <v>6</v>
      </c>
    </row>
    <row r="2" spans="1:6" x14ac:dyDescent="0.3">
      <c r="A2">
        <v>22000</v>
      </c>
      <c r="B2">
        <f>1/200</f>
        <v>5.0000000000000001E-3</v>
      </c>
      <c r="C2">
        <v>0.2</v>
      </c>
      <c r="D2">
        <v>14.6</v>
      </c>
      <c r="E2">
        <f>D2-C2</f>
        <v>14.4</v>
      </c>
    </row>
    <row r="3" spans="1:6" x14ac:dyDescent="0.3">
      <c r="C3">
        <v>0.2</v>
      </c>
      <c r="D3">
        <v>12.6</v>
      </c>
      <c r="E3">
        <f>D3-C3</f>
        <v>12.4</v>
      </c>
      <c r="F3">
        <f>LN(E2/E3)</f>
        <v>0.14953173397096384</v>
      </c>
    </row>
    <row r="4" spans="1:6" x14ac:dyDescent="0.3">
      <c r="A4">
        <v>22000</v>
      </c>
      <c r="B4">
        <v>5.0000000000000001E-3</v>
      </c>
      <c r="C4">
        <v>0</v>
      </c>
      <c r="D4">
        <v>20.6</v>
      </c>
      <c r="E4">
        <f t="shared" ref="E4:E5" si="0">D4-C4</f>
        <v>20.6</v>
      </c>
    </row>
    <row r="5" spans="1:6" x14ac:dyDescent="0.3">
      <c r="C5">
        <v>0</v>
      </c>
      <c r="D5">
        <v>7.7</v>
      </c>
      <c r="E5">
        <f t="shared" si="0"/>
        <v>7.7</v>
      </c>
      <c r="F5">
        <f t="shared" ref="F5" si="1">LN(E4/E5)</f>
        <v>0.98407074693589736</v>
      </c>
    </row>
    <row r="6" spans="1:6" x14ac:dyDescent="0.3">
      <c r="A6">
        <v>32000</v>
      </c>
      <c r="B6">
        <v>5.0000000000000001E-3</v>
      </c>
      <c r="C6">
        <v>0</v>
      </c>
      <c r="D6">
        <v>14.5</v>
      </c>
      <c r="E6">
        <f t="shared" ref="E6:E11" si="2">D6-C6</f>
        <v>14.5</v>
      </c>
    </row>
    <row r="7" spans="1:6" x14ac:dyDescent="0.3">
      <c r="C7">
        <v>0</v>
      </c>
      <c r="D7">
        <v>7.1</v>
      </c>
      <c r="E7">
        <f t="shared" si="2"/>
        <v>7.1</v>
      </c>
      <c r="F7">
        <f>LN(E6/E7)</f>
        <v>0.71405386537925897</v>
      </c>
    </row>
    <row r="8" spans="1:6" x14ac:dyDescent="0.3">
      <c r="A8">
        <v>42000</v>
      </c>
      <c r="B8">
        <v>5.0000000000000001E-3</v>
      </c>
      <c r="C8">
        <v>0.2</v>
      </c>
      <c r="D8">
        <v>11</v>
      </c>
      <c r="E8">
        <f t="shared" si="2"/>
        <v>10.8</v>
      </c>
    </row>
    <row r="9" spans="1:6" x14ac:dyDescent="0.3">
      <c r="C9">
        <v>-0.2</v>
      </c>
      <c r="D9">
        <v>6.1</v>
      </c>
      <c r="E9">
        <f t="shared" si="2"/>
        <v>6.3</v>
      </c>
      <c r="F9">
        <f>LN(E8/E9)</f>
        <v>0.53899650073268712</v>
      </c>
    </row>
    <row r="10" spans="1:6" x14ac:dyDescent="0.3">
      <c r="A10">
        <v>39000</v>
      </c>
      <c r="B10">
        <v>5.0000000000000001E-3</v>
      </c>
      <c r="C10">
        <v>0.3</v>
      </c>
      <c r="D10">
        <v>11.85</v>
      </c>
      <c r="E10">
        <f t="shared" si="2"/>
        <v>11.549999999999999</v>
      </c>
    </row>
    <row r="11" spans="1:6" x14ac:dyDescent="0.3">
      <c r="C11">
        <v>-0.3</v>
      </c>
      <c r="D11">
        <v>6.3</v>
      </c>
      <c r="E11">
        <f t="shared" si="2"/>
        <v>6.6</v>
      </c>
      <c r="F11">
        <f>LN(E10/E11)</f>
        <v>0.55961578793542266</v>
      </c>
    </row>
    <row r="12" spans="1:6" x14ac:dyDescent="0.3">
      <c r="A12">
        <v>49000</v>
      </c>
      <c r="B12">
        <v>0.01</v>
      </c>
      <c r="C12">
        <v>0.3</v>
      </c>
      <c r="D12">
        <v>18.7</v>
      </c>
      <c r="E12">
        <f t="shared" ref="E12:E13" si="3">D12-C12</f>
        <v>18.399999999999999</v>
      </c>
    </row>
    <row r="13" spans="1:6" x14ac:dyDescent="0.3">
      <c r="C13">
        <v>-0.3</v>
      </c>
      <c r="D13">
        <v>11.2</v>
      </c>
      <c r="E13">
        <f t="shared" si="3"/>
        <v>11.5</v>
      </c>
      <c r="F13">
        <f>LN(E12/E13)</f>
        <v>0.47000362924573547</v>
      </c>
    </row>
    <row r="14" spans="1:6" x14ac:dyDescent="0.3">
      <c r="A14">
        <v>56000</v>
      </c>
      <c r="B14">
        <v>0.01</v>
      </c>
      <c r="C14">
        <v>0.3</v>
      </c>
      <c r="D14">
        <v>16.399999999999999</v>
      </c>
      <c r="E14">
        <f t="shared" ref="E14:E15" si="4">D14-C14</f>
        <v>16.099999999999998</v>
      </c>
    </row>
    <row r="15" spans="1:6" x14ac:dyDescent="0.3">
      <c r="C15">
        <v>-0.3</v>
      </c>
      <c r="D15">
        <v>10.3</v>
      </c>
      <c r="E15">
        <f t="shared" si="4"/>
        <v>10.600000000000001</v>
      </c>
      <c r="F15">
        <f>LN(E14/E15)</f>
        <v>0.41796527087239554</v>
      </c>
    </row>
    <row r="16" spans="1:6" x14ac:dyDescent="0.3">
      <c r="A16">
        <v>63000</v>
      </c>
      <c r="B16">
        <v>0.1</v>
      </c>
      <c r="C16">
        <v>0.3</v>
      </c>
      <c r="D16">
        <v>20.7</v>
      </c>
      <c r="E16">
        <f t="shared" ref="E16:E17" si="5">D16-C16</f>
        <v>20.399999999999999</v>
      </c>
    </row>
    <row r="17" spans="1:6" x14ac:dyDescent="0.3">
      <c r="C17">
        <v>-0.3</v>
      </c>
      <c r="D17">
        <v>13.7</v>
      </c>
      <c r="E17">
        <f t="shared" si="5"/>
        <v>14</v>
      </c>
      <c r="F17">
        <f>LN(E16/E17)</f>
        <v>0.37647757123491205</v>
      </c>
    </row>
    <row r="18" spans="1:6" x14ac:dyDescent="0.3">
      <c r="A18">
        <v>70000</v>
      </c>
      <c r="B18">
        <v>0.1</v>
      </c>
      <c r="C18">
        <v>0.3</v>
      </c>
      <c r="D18">
        <v>18.7</v>
      </c>
      <c r="E18">
        <f t="shared" ref="E18:E21" si="6">D18-C18</f>
        <v>18.399999999999999</v>
      </c>
    </row>
    <row r="19" spans="1:6" x14ac:dyDescent="0.3">
      <c r="C19">
        <v>-0.3</v>
      </c>
      <c r="D19">
        <v>12.4</v>
      </c>
      <c r="E19">
        <f t="shared" si="6"/>
        <v>12.700000000000001</v>
      </c>
      <c r="F19">
        <f>LN(E18/E19)</f>
        <v>0.37074867115039428</v>
      </c>
    </row>
    <row r="20" spans="1:6" x14ac:dyDescent="0.3">
      <c r="A20">
        <v>22000</v>
      </c>
      <c r="B20">
        <f>1/200</f>
        <v>5.0000000000000001E-3</v>
      </c>
      <c r="C20">
        <v>0.3</v>
      </c>
      <c r="D20">
        <v>20.7</v>
      </c>
      <c r="E20">
        <f t="shared" si="6"/>
        <v>20.399999999999999</v>
      </c>
    </row>
    <row r="21" spans="1:6" x14ac:dyDescent="0.3">
      <c r="C21">
        <v>-0.3</v>
      </c>
      <c r="D21">
        <v>7.8</v>
      </c>
      <c r="E21">
        <f t="shared" si="6"/>
        <v>8.1</v>
      </c>
      <c r="F21">
        <f>LN(E20/E21)</f>
        <v>0.92367083917177761</v>
      </c>
    </row>
    <row r="22" spans="1:6" x14ac:dyDescent="0.3">
      <c r="A22">
        <v>29000</v>
      </c>
      <c r="B22">
        <v>5.0000000000000001E-3</v>
      </c>
      <c r="C22">
        <v>0.3</v>
      </c>
      <c r="D22">
        <v>15.8</v>
      </c>
      <c r="E22">
        <f t="shared" ref="E22:E23" si="7">D22-C22</f>
        <v>15.5</v>
      </c>
    </row>
    <row r="23" spans="1:6" x14ac:dyDescent="0.3">
      <c r="C23">
        <v>-0.3</v>
      </c>
      <c r="D23">
        <v>7.2</v>
      </c>
      <c r="E23">
        <f t="shared" si="7"/>
        <v>7.5</v>
      </c>
      <c r="F23">
        <f>LN(E22/E23)</f>
        <v>0.72593700338293632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D8076-20C2-4E00-AB42-6E0632386A93}">
  <dimension ref="A1:G2"/>
  <sheetViews>
    <sheetView workbookViewId="0">
      <selection activeCell="F2" sqref="F2"/>
    </sheetView>
  </sheetViews>
  <sheetFormatPr defaultRowHeight="14.4" x14ac:dyDescent="0.3"/>
  <cols>
    <col min="2" max="2" width="10.44140625" bestFit="1" customWidth="1"/>
  </cols>
  <sheetData>
    <row r="1" spans="1:7" x14ac:dyDescent="0.3">
      <c r="A1" t="s">
        <v>4</v>
      </c>
      <c r="B1" t="s">
        <v>1</v>
      </c>
      <c r="C1" t="s">
        <v>11</v>
      </c>
      <c r="D1" t="s">
        <v>10</v>
      </c>
      <c r="E1" t="s">
        <v>3</v>
      </c>
      <c r="F1" t="s">
        <v>12</v>
      </c>
    </row>
    <row r="2" spans="1:7" x14ac:dyDescent="0.3">
      <c r="A2">
        <v>10000</v>
      </c>
      <c r="B2" s="2">
        <f>1/5000</f>
        <v>2.0000000000000001E-4</v>
      </c>
      <c r="C2">
        <f>B2*A2</f>
        <v>2</v>
      </c>
      <c r="D2">
        <v>610</v>
      </c>
      <c r="E2">
        <v>6700</v>
      </c>
      <c r="F2">
        <f>C2+D2+E2</f>
        <v>7312</v>
      </c>
      <c r="G2">
        <f>3*F2</f>
        <v>21936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C5B49-D306-492F-963C-7B8A5A752C09}">
  <dimension ref="A1:F12"/>
  <sheetViews>
    <sheetView workbookViewId="0">
      <selection activeCell="D5" sqref="D5"/>
    </sheetView>
  </sheetViews>
  <sheetFormatPr defaultRowHeight="14.4" x14ac:dyDescent="0.3"/>
  <sheetData>
    <row r="1" spans="1:6" x14ac:dyDescent="0.3">
      <c r="A1" t="s">
        <v>3</v>
      </c>
      <c r="B1" t="s">
        <v>14</v>
      </c>
      <c r="C1" t="s">
        <v>15</v>
      </c>
    </row>
    <row r="2" spans="1:6" x14ac:dyDescent="0.3">
      <c r="A2" t="s">
        <v>13</v>
      </c>
      <c r="B2">
        <v>4.5999999999999996</v>
      </c>
      <c r="C2" s="3" t="s">
        <v>16</v>
      </c>
      <c r="D2" t="s">
        <v>17</v>
      </c>
    </row>
    <row r="3" spans="1:6" x14ac:dyDescent="0.3">
      <c r="A3">
        <v>7310</v>
      </c>
      <c r="B3">
        <v>3.3</v>
      </c>
      <c r="D3">
        <v>0.3</v>
      </c>
      <c r="F3" t="s">
        <v>18</v>
      </c>
    </row>
    <row r="4" spans="1:6" x14ac:dyDescent="0.3">
      <c r="A4">
        <v>15000</v>
      </c>
      <c r="B4">
        <v>4.0999999999999996</v>
      </c>
    </row>
    <row r="5" spans="1:6" x14ac:dyDescent="0.3">
      <c r="A5" t="s">
        <v>13</v>
      </c>
      <c r="B5">
        <v>20.2</v>
      </c>
      <c r="C5" s="1">
        <v>42005</v>
      </c>
      <c r="D5">
        <v>20</v>
      </c>
    </row>
    <row r="6" spans="1:6" x14ac:dyDescent="0.3">
      <c r="A6">
        <v>7310</v>
      </c>
      <c r="B6">
        <v>10.8</v>
      </c>
    </row>
    <row r="7" spans="1:6" x14ac:dyDescent="0.3">
      <c r="A7">
        <v>15000</v>
      </c>
      <c r="B7">
        <v>13.7</v>
      </c>
    </row>
    <row r="8" spans="1:6" x14ac:dyDescent="0.3">
      <c r="A8">
        <v>22000</v>
      </c>
      <c r="B8">
        <v>15.9</v>
      </c>
    </row>
    <row r="9" spans="1:6" x14ac:dyDescent="0.3">
      <c r="A9">
        <v>30000</v>
      </c>
      <c r="B9">
        <v>16.7</v>
      </c>
    </row>
    <row r="10" spans="1:6" x14ac:dyDescent="0.3">
      <c r="A10">
        <v>37000</v>
      </c>
      <c r="B10">
        <v>17.2</v>
      </c>
    </row>
    <row r="11" spans="1:6" x14ac:dyDescent="0.3">
      <c r="A11">
        <v>44000</v>
      </c>
      <c r="B11">
        <v>18.5</v>
      </c>
    </row>
    <row r="12" spans="1:6" x14ac:dyDescent="0.3">
      <c r="A12">
        <v>4000</v>
      </c>
      <c r="B12">
        <v>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I</vt:lpstr>
      <vt:lpstr>Лист2</vt:lpstr>
      <vt:lpstr>Dec</vt:lpstr>
      <vt:lpstr>Лист3</vt:lpstr>
      <vt:lpstr>Лист5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</dc:creator>
  <cp:lastModifiedBy>Daniil</cp:lastModifiedBy>
  <dcterms:created xsi:type="dcterms:W3CDTF">2025-09-27T07:16:30Z</dcterms:created>
  <dcterms:modified xsi:type="dcterms:W3CDTF">2025-09-28T12:09:09Z</dcterms:modified>
</cp:coreProperties>
</file>