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7.1\"/>
    </mc:Choice>
  </mc:AlternateContent>
  <xr:revisionPtr revIDLastSave="0" documentId="13_ncr:1_{59597C5D-4DFF-4E7B-98D6-17FB781BF026}" xr6:coauthVersionLast="47" xr6:coauthVersionMax="47" xr10:uidLastSave="{00000000-0000-0000-0000-000000000000}"/>
  <bookViews>
    <workbookView xWindow="0" yWindow="744" windowWidth="17280" windowHeight="8964" xr2:uid="{BEA3CA9F-56D5-4FA8-92CE-A3119976B17E}"/>
  </bookViews>
  <sheets>
    <sheet name="dat" sheetId="1" r:id="rId1"/>
    <sheet name="ksi" sheetId="3" r:id="rId2"/>
    <sheet name="fi" sheetId="2" r:id="rId3"/>
    <sheet name="fi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4" l="1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3" i="2"/>
  <c r="I3" i="3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J2" i="3"/>
  <c r="I2" i="3"/>
  <c r="B2" i="2"/>
  <c r="H17" i="3"/>
  <c r="H16" i="3"/>
  <c r="H15" i="3"/>
  <c r="H3" i="3"/>
  <c r="H4" i="3"/>
  <c r="H5" i="3"/>
  <c r="H6" i="3"/>
  <c r="H7" i="3"/>
  <c r="H8" i="3"/>
  <c r="H9" i="3"/>
  <c r="H10" i="3"/>
  <c r="H11" i="3"/>
  <c r="H12" i="3"/>
  <c r="H13" i="3"/>
  <c r="H14" i="3"/>
  <c r="H2" i="3"/>
  <c r="B17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3"/>
  <c r="D1" i="1"/>
  <c r="B2" i="1"/>
  <c r="C2" i="1" s="1"/>
</calcChain>
</file>

<file path=xl/sharedStrings.xml><?xml version="1.0" encoding="utf-8"?>
<sst xmlns="http://schemas.openxmlformats.org/spreadsheetml/2006/main" count="31" uniqueCount="19">
  <si>
    <t>omeg</t>
  </si>
  <si>
    <t>sigm</t>
  </si>
  <si>
    <t>del</t>
  </si>
  <si>
    <t>mu0</t>
  </si>
  <si>
    <t>D</t>
  </si>
  <si>
    <t>h</t>
  </si>
  <si>
    <t>mm</t>
  </si>
  <si>
    <t>nu</t>
  </si>
  <si>
    <t>mulI</t>
  </si>
  <si>
    <t>I</t>
  </si>
  <si>
    <t>muV</t>
  </si>
  <si>
    <t>V</t>
  </si>
  <si>
    <t>n</t>
  </si>
  <si>
    <t>k</t>
  </si>
  <si>
    <t>1/k^2</t>
  </si>
  <si>
    <t>nu^2</t>
  </si>
  <si>
    <t>dl_p</t>
  </si>
  <si>
    <t>dl_fi</t>
  </si>
  <si>
    <t>0.569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</si>
</sst>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ksi!$H$1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ksi!$B$2:$B$17</c:f>
              <c:numCache>
                <c:formatCode>General</c:formatCode>
                <c:ptCount val="16"/>
                <c:pt idx="0">
                  <c:v>22.5</c:v>
                </c:pt>
                <c:pt idx="1">
                  <c:v>28.5</c:v>
                </c:pt>
                <c:pt idx="2">
                  <c:v>34.5</c:v>
                </c:pt>
                <c:pt idx="3">
                  <c:v>40.5</c:v>
                </c:pt>
                <c:pt idx="4">
                  <c:v>46.499999999999993</c:v>
                </c:pt>
                <c:pt idx="5">
                  <c:v>52.499999999999993</c:v>
                </c:pt>
                <c:pt idx="6">
                  <c:v>58.5</c:v>
                </c:pt>
                <c:pt idx="7">
                  <c:v>64.5</c:v>
                </c:pt>
                <c:pt idx="8">
                  <c:v>70.5</c:v>
                </c:pt>
                <c:pt idx="9">
                  <c:v>76.5</c:v>
                </c:pt>
                <c:pt idx="10">
                  <c:v>82.5</c:v>
                </c:pt>
                <c:pt idx="11">
                  <c:v>88.5</c:v>
                </c:pt>
                <c:pt idx="12">
                  <c:v>94.5</c:v>
                </c:pt>
                <c:pt idx="13">
                  <c:v>100.5</c:v>
                </c:pt>
                <c:pt idx="14">
                  <c:v>106.5</c:v>
                </c:pt>
                <c:pt idx="15">
                  <c:v>112.5</c:v>
                </c:pt>
              </c:numCache>
            </c:numRef>
          </c:xVal>
          <c:yVal>
            <c:numRef>
              <c:f>ksi!$H$2:$H$17</c:f>
              <c:numCache>
                <c:formatCode>0.00E+00</c:formatCode>
                <c:ptCount val="16"/>
                <c:pt idx="0">
                  <c:v>6.844444444444445</c:v>
                </c:pt>
                <c:pt idx="1">
                  <c:v>6.7017543859649118</c:v>
                </c:pt>
                <c:pt idx="2">
                  <c:v>6.6666666666666661</c:v>
                </c:pt>
                <c:pt idx="3">
                  <c:v>6.518518518518519</c:v>
                </c:pt>
                <c:pt idx="4">
                  <c:v>6.4731182795698929</c:v>
                </c:pt>
                <c:pt idx="5">
                  <c:v>6.3238095238095253</c:v>
                </c:pt>
                <c:pt idx="6">
                  <c:v>6.1538461538461533</c:v>
                </c:pt>
                <c:pt idx="7">
                  <c:v>6.0930232558139537</c:v>
                </c:pt>
                <c:pt idx="8">
                  <c:v>5.9290780141843964</c:v>
                </c:pt>
                <c:pt idx="9">
                  <c:v>5.8169934640522873</c:v>
                </c:pt>
                <c:pt idx="10">
                  <c:v>5.6727272727272728</c:v>
                </c:pt>
                <c:pt idx="11">
                  <c:v>5.5480225988700571</c:v>
                </c:pt>
                <c:pt idx="12">
                  <c:v>5.3756613756613758</c:v>
                </c:pt>
                <c:pt idx="13">
                  <c:v>5.2636815920398012</c:v>
                </c:pt>
                <c:pt idx="14">
                  <c:v>5.1220657276995301</c:v>
                </c:pt>
                <c:pt idx="15">
                  <c:v>4.9777777777777779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D-4479-B54D-85EEE840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304480"/>
        <c:axId val="323189080"/>
      </c:scatterChart>
      <c:valAx>
        <c:axId val="32330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3189080"/>
        <c:crosses val="autoZero"/>
        <c:crossBetween val="midCat"/>
      </c:valAx>
      <c:valAx>
        <c:axId val="32318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330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ksi!$J$1</c:f>
              <c:strCache>
                <c:ptCount val="1"/>
                <c:pt idx="0">
                  <c:v>nu^2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ksi!$I$2:$I$17</c:f>
              <c:numCache>
                <c:formatCode>0.00E+00</c:formatCode>
                <c:ptCount val="16"/>
                <c:pt idx="0">
                  <c:v>2.1346348456738062E-2</c:v>
                </c:pt>
                <c:pt idx="1">
                  <c:v>2.2265014665168174E-2</c:v>
                </c:pt>
                <c:pt idx="2">
                  <c:v>2.2500000000000006E-2</c:v>
                </c:pt>
                <c:pt idx="3">
                  <c:v>2.3534349173553713E-2</c:v>
                </c:pt>
                <c:pt idx="4">
                  <c:v>2.3865630622178557E-2</c:v>
                </c:pt>
                <c:pt idx="5">
                  <c:v>2.5005897082305113E-2</c:v>
                </c:pt>
                <c:pt idx="6">
                  <c:v>2.6406250000000003E-2</c:v>
                </c:pt>
                <c:pt idx="7">
                  <c:v>2.6936075986247886E-2</c:v>
                </c:pt>
                <c:pt idx="8">
                  <c:v>2.8446292438359937E-2</c:v>
                </c:pt>
                <c:pt idx="9">
                  <c:v>2.9553086731473301E-2</c:v>
                </c:pt>
                <c:pt idx="10">
                  <c:v>3.1075361604207756E-2</c:v>
                </c:pt>
                <c:pt idx="11">
                  <c:v>3.2488043437682766E-2</c:v>
                </c:pt>
                <c:pt idx="12">
                  <c:v>3.4604787959575917E-2</c:v>
                </c:pt>
                <c:pt idx="13">
                  <c:v>3.6092816992506459E-2</c:v>
                </c:pt>
                <c:pt idx="14">
                  <c:v>3.811620953371516E-2</c:v>
                </c:pt>
                <c:pt idx="15">
                  <c:v>4.0357940051020405E-2</c:v>
                </c:pt>
              </c:numCache>
            </c:numRef>
          </c:xVal>
          <c:yVal>
            <c:numRef>
              <c:f>ksi!$J$2:$J$17</c:f>
              <c:numCache>
                <c:formatCode>General</c:formatCode>
                <c:ptCount val="16"/>
                <c:pt idx="0">
                  <c:v>506.25</c:v>
                </c:pt>
                <c:pt idx="1">
                  <c:v>812.25</c:v>
                </c:pt>
                <c:pt idx="2">
                  <c:v>1190.25</c:v>
                </c:pt>
                <c:pt idx="3">
                  <c:v>1640.25</c:v>
                </c:pt>
                <c:pt idx="4">
                  <c:v>2162.2499999999995</c:v>
                </c:pt>
                <c:pt idx="5">
                  <c:v>2756.2499999999991</c:v>
                </c:pt>
                <c:pt idx="6">
                  <c:v>3422.25</c:v>
                </c:pt>
                <c:pt idx="7">
                  <c:v>4160.25</c:v>
                </c:pt>
                <c:pt idx="8">
                  <c:v>4970.25</c:v>
                </c:pt>
                <c:pt idx="9">
                  <c:v>5852.25</c:v>
                </c:pt>
                <c:pt idx="10">
                  <c:v>6806.25</c:v>
                </c:pt>
                <c:pt idx="11">
                  <c:v>7832.25</c:v>
                </c:pt>
                <c:pt idx="12">
                  <c:v>8930.25</c:v>
                </c:pt>
                <c:pt idx="13">
                  <c:v>10100.25</c:v>
                </c:pt>
                <c:pt idx="14">
                  <c:v>11342.25</c:v>
                </c:pt>
                <c:pt idx="15">
                  <c:v>12656.25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B-45F8-BFFC-540A42E7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970544"/>
        <c:axId val="574972704"/>
      </c:scatterChart>
      <c:valAx>
        <c:axId val="57497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72704"/>
        <c:crosses val="autoZero"/>
        <c:crossBetween val="midCat"/>
      </c:valAx>
      <c:valAx>
        <c:axId val="574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7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0</xdr:row>
      <xdr:rowOff>41910</xdr:rowOff>
    </xdr:from>
    <xdr:to>
      <xdr:col>17</xdr:col>
      <xdr:colOff>525780</xdr:colOff>
      <xdr:row>15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0E5CE2-69DA-D6AB-7975-F43CD547A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11</xdr:row>
      <xdr:rowOff>34290</xdr:rowOff>
    </xdr:from>
    <xdr:to>
      <xdr:col>17</xdr:col>
      <xdr:colOff>289560</xdr:colOff>
      <xdr:row>26</xdr:row>
      <xdr:rowOff>34290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775D23-B16F-F9E2-A2A5-080B9639A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4EC7-F735-4DA7-A5DE-908673C08C24}">
  <dimension ref="A1:J2"/>
  <sheetViews>
    <sheetView tabSelected="1" workbookViewId="0">
      <selection activeCell="C2" sqref="C2"/>
    </sheetView>
  </sheetViews>
  <sheetFormatPr defaultRowHeight="14.4" x14ac:dyDescent="0.3"/>
  <sheetData>
    <row r="1" spans="1:10" x14ac:dyDescent="0.3">
      <c r="A1" t="s">
        <v>1</v>
      </c>
      <c r="B1" s="1">
        <v>50000000</v>
      </c>
      <c r="C1" t="s">
        <v>2</v>
      </c>
      <c r="D1">
        <f>J1/1000</f>
        <v>1.5E-3</v>
      </c>
      <c r="E1" t="s">
        <v>3</v>
      </c>
      <c r="F1" s="1">
        <v>1.2566E-6</v>
      </c>
      <c r="G1" t="s">
        <v>4</v>
      </c>
      <c r="H1">
        <v>45</v>
      </c>
      <c r="I1" t="s">
        <v>5</v>
      </c>
      <c r="J1">
        <v>1.5</v>
      </c>
    </row>
    <row r="2" spans="1:10" x14ac:dyDescent="0.3">
      <c r="A2" t="s">
        <v>0</v>
      </c>
      <c r="B2" s="1">
        <f>2/(B1*D1*D1*F1)</f>
        <v>14147.523299202434</v>
      </c>
      <c r="C2" s="1">
        <f>B2/(2*PI())</f>
        <v>2251.6482655758268</v>
      </c>
      <c r="H2" t="s">
        <v>6</v>
      </c>
      <c r="J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FE70-6EDE-4559-9D1C-B3FB9112F3C7}">
  <dimension ref="A1:J17"/>
  <sheetViews>
    <sheetView workbookViewId="0">
      <selection activeCell="F2" sqref="F2"/>
    </sheetView>
  </sheetViews>
  <sheetFormatPr defaultRowHeight="14.4" x14ac:dyDescent="0.3"/>
  <sheetData>
    <row r="1" spans="1:10" x14ac:dyDescent="0.3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H1" t="s">
        <v>13</v>
      </c>
      <c r="I1" t="s">
        <v>14</v>
      </c>
      <c r="J1" t="s">
        <v>15</v>
      </c>
    </row>
    <row r="2" spans="1:10" x14ac:dyDescent="0.3">
      <c r="A2">
        <v>0</v>
      </c>
      <c r="B2">
        <v>22.5</v>
      </c>
      <c r="C2" s="1">
        <v>1E-3</v>
      </c>
      <c r="D2">
        <v>473</v>
      </c>
      <c r="E2">
        <v>1</v>
      </c>
      <c r="F2">
        <v>0.154</v>
      </c>
      <c r="H2" s="1">
        <f>F2/(B2*C2)</f>
        <v>6.844444444444445</v>
      </c>
      <c r="I2" s="1">
        <f>1/(H2*H2)</f>
        <v>2.1346348456738062E-2</v>
      </c>
      <c r="J2">
        <f>B2*B2</f>
        <v>506.25</v>
      </c>
    </row>
    <row r="3" spans="1:10" x14ac:dyDescent="0.3">
      <c r="A3">
        <v>1</v>
      </c>
      <c r="B3">
        <f>B$2*(A3*4/15+1)</f>
        <v>28.5</v>
      </c>
      <c r="C3" s="1">
        <v>1E-3</v>
      </c>
      <c r="D3">
        <v>470</v>
      </c>
      <c r="E3">
        <v>1</v>
      </c>
      <c r="F3">
        <v>0.191</v>
      </c>
      <c r="H3" s="1">
        <f t="shared" ref="H3:H17" si="0">F3/(B3*C3)</f>
        <v>6.7017543859649118</v>
      </c>
      <c r="I3" s="1">
        <f t="shared" ref="I3:I17" si="1">1/(H3*H3)</f>
        <v>2.2265014665168174E-2</v>
      </c>
      <c r="J3">
        <f t="shared" ref="J3:J17" si="2">B3*B3</f>
        <v>812.25</v>
      </c>
    </row>
    <row r="4" spans="1:10" x14ac:dyDescent="0.3">
      <c r="A4">
        <v>2</v>
      </c>
      <c r="B4">
        <f t="shared" ref="B4:B17" si="3">B$2*(A4*4/15+1)</f>
        <v>34.5</v>
      </c>
      <c r="C4" s="1">
        <v>1E-3</v>
      </c>
      <c r="D4">
        <v>466</v>
      </c>
      <c r="E4">
        <v>1</v>
      </c>
      <c r="F4">
        <v>0.23</v>
      </c>
      <c r="H4" s="1">
        <f t="shared" si="0"/>
        <v>6.6666666666666661</v>
      </c>
      <c r="I4" s="1">
        <f t="shared" si="1"/>
        <v>2.2500000000000006E-2</v>
      </c>
      <c r="J4">
        <f t="shared" si="2"/>
        <v>1190.25</v>
      </c>
    </row>
    <row r="5" spans="1:10" x14ac:dyDescent="0.3">
      <c r="A5">
        <v>3</v>
      </c>
      <c r="B5">
        <f t="shared" si="3"/>
        <v>40.5</v>
      </c>
      <c r="C5" s="1">
        <v>1E-3</v>
      </c>
      <c r="D5">
        <v>461</v>
      </c>
      <c r="E5">
        <v>1</v>
      </c>
      <c r="F5">
        <v>0.26400000000000001</v>
      </c>
      <c r="H5" s="1">
        <f t="shared" si="0"/>
        <v>6.518518518518519</v>
      </c>
      <c r="I5" s="1">
        <f t="shared" si="1"/>
        <v>2.3534349173553713E-2</v>
      </c>
      <c r="J5">
        <f t="shared" si="2"/>
        <v>1640.25</v>
      </c>
    </row>
    <row r="6" spans="1:10" x14ac:dyDescent="0.3">
      <c r="A6">
        <v>4</v>
      </c>
      <c r="B6">
        <f t="shared" si="3"/>
        <v>46.499999999999993</v>
      </c>
      <c r="C6" s="1">
        <v>1E-3</v>
      </c>
      <c r="D6">
        <v>458</v>
      </c>
      <c r="E6">
        <v>1</v>
      </c>
      <c r="F6">
        <v>0.30099999999999999</v>
      </c>
      <c r="H6" s="1">
        <f t="shared" si="0"/>
        <v>6.4731182795698929</v>
      </c>
      <c r="I6" s="1">
        <f t="shared" si="1"/>
        <v>2.3865630622178557E-2</v>
      </c>
      <c r="J6">
        <f t="shared" si="2"/>
        <v>2162.2499999999995</v>
      </c>
    </row>
    <row r="7" spans="1:10" x14ac:dyDescent="0.3">
      <c r="A7">
        <v>5</v>
      </c>
      <c r="B7">
        <f t="shared" si="3"/>
        <v>52.499999999999993</v>
      </c>
      <c r="C7" s="1">
        <v>1E-3</v>
      </c>
      <c r="D7">
        <v>456</v>
      </c>
      <c r="E7">
        <v>1</v>
      </c>
      <c r="F7">
        <v>0.33200000000000002</v>
      </c>
      <c r="H7" s="1">
        <f t="shared" si="0"/>
        <v>6.3238095238095253</v>
      </c>
      <c r="I7" s="1">
        <f t="shared" si="1"/>
        <v>2.5005897082305113E-2</v>
      </c>
      <c r="J7">
        <f t="shared" si="2"/>
        <v>2756.2499999999991</v>
      </c>
    </row>
    <row r="8" spans="1:10" x14ac:dyDescent="0.3">
      <c r="A8">
        <v>6</v>
      </c>
      <c r="B8">
        <f t="shared" si="3"/>
        <v>58.5</v>
      </c>
      <c r="C8" s="1">
        <v>1E-3</v>
      </c>
      <c r="D8">
        <v>447</v>
      </c>
      <c r="E8">
        <v>1</v>
      </c>
      <c r="F8">
        <v>0.36</v>
      </c>
      <c r="H8" s="1">
        <f t="shared" si="0"/>
        <v>6.1538461538461533</v>
      </c>
      <c r="I8" s="1">
        <f t="shared" si="1"/>
        <v>2.6406250000000003E-2</v>
      </c>
      <c r="J8">
        <f t="shared" si="2"/>
        <v>3422.25</v>
      </c>
    </row>
    <row r="9" spans="1:10" x14ac:dyDescent="0.3">
      <c r="A9">
        <v>7</v>
      </c>
      <c r="B9">
        <f t="shared" si="3"/>
        <v>64.5</v>
      </c>
      <c r="C9" s="1">
        <v>1E-3</v>
      </c>
      <c r="D9">
        <v>442</v>
      </c>
      <c r="E9">
        <v>1</v>
      </c>
      <c r="F9">
        <v>0.39300000000000002</v>
      </c>
      <c r="H9" s="1">
        <f t="shared" si="0"/>
        <v>6.0930232558139537</v>
      </c>
      <c r="I9" s="1">
        <f t="shared" si="1"/>
        <v>2.6936075986247886E-2</v>
      </c>
      <c r="J9">
        <f t="shared" si="2"/>
        <v>4160.25</v>
      </c>
    </row>
    <row r="10" spans="1:10" x14ac:dyDescent="0.3">
      <c r="A10">
        <v>8</v>
      </c>
      <c r="B10">
        <f t="shared" si="3"/>
        <v>70.5</v>
      </c>
      <c r="C10" s="1">
        <v>1E-3</v>
      </c>
      <c r="D10">
        <v>440</v>
      </c>
      <c r="E10">
        <v>1</v>
      </c>
      <c r="F10">
        <v>0.41799999999999998</v>
      </c>
      <c r="H10" s="1">
        <f t="shared" si="0"/>
        <v>5.9290780141843964</v>
      </c>
      <c r="I10" s="1">
        <f t="shared" si="1"/>
        <v>2.8446292438359937E-2</v>
      </c>
      <c r="J10">
        <f t="shared" si="2"/>
        <v>4970.25</v>
      </c>
    </row>
    <row r="11" spans="1:10" x14ac:dyDescent="0.3">
      <c r="A11">
        <v>9</v>
      </c>
      <c r="B11">
        <f t="shared" si="3"/>
        <v>76.5</v>
      </c>
      <c r="C11" s="1">
        <v>1E-3</v>
      </c>
      <c r="D11">
        <v>438</v>
      </c>
      <c r="E11">
        <v>1</v>
      </c>
      <c r="F11">
        <v>0.44500000000000001</v>
      </c>
      <c r="H11" s="1">
        <f t="shared" si="0"/>
        <v>5.8169934640522873</v>
      </c>
      <c r="I11" s="1">
        <f t="shared" si="1"/>
        <v>2.9553086731473301E-2</v>
      </c>
      <c r="J11">
        <f t="shared" si="2"/>
        <v>5852.25</v>
      </c>
    </row>
    <row r="12" spans="1:10" x14ac:dyDescent="0.3">
      <c r="A12">
        <v>10</v>
      </c>
      <c r="B12">
        <f t="shared" si="3"/>
        <v>82.5</v>
      </c>
      <c r="C12" s="1">
        <v>1E-3</v>
      </c>
      <c r="D12">
        <v>434</v>
      </c>
      <c r="E12">
        <v>1</v>
      </c>
      <c r="F12">
        <v>0.46800000000000003</v>
      </c>
      <c r="H12" s="1">
        <f t="shared" si="0"/>
        <v>5.6727272727272728</v>
      </c>
      <c r="I12" s="1">
        <f t="shared" si="1"/>
        <v>3.1075361604207756E-2</v>
      </c>
      <c r="J12">
        <f t="shared" si="2"/>
        <v>6806.25</v>
      </c>
    </row>
    <row r="13" spans="1:10" x14ac:dyDescent="0.3">
      <c r="A13">
        <v>11</v>
      </c>
      <c r="B13">
        <f t="shared" si="3"/>
        <v>88.5</v>
      </c>
      <c r="C13" s="1">
        <v>1E-3</v>
      </c>
      <c r="D13">
        <v>429</v>
      </c>
      <c r="E13">
        <v>1</v>
      </c>
      <c r="F13">
        <v>0.49099999999999999</v>
      </c>
      <c r="H13" s="1">
        <f t="shared" si="0"/>
        <v>5.5480225988700571</v>
      </c>
      <c r="I13" s="1">
        <f t="shared" si="1"/>
        <v>3.2488043437682766E-2</v>
      </c>
      <c r="J13">
        <f t="shared" si="2"/>
        <v>7832.25</v>
      </c>
    </row>
    <row r="14" spans="1:10" x14ac:dyDescent="0.3">
      <c r="A14">
        <v>12</v>
      </c>
      <c r="B14">
        <f t="shared" si="3"/>
        <v>94.5</v>
      </c>
      <c r="C14" s="1">
        <v>1E-3</v>
      </c>
      <c r="D14">
        <v>423</v>
      </c>
      <c r="E14">
        <v>1</v>
      </c>
      <c r="F14">
        <v>0.50800000000000001</v>
      </c>
      <c r="H14" s="1">
        <f t="shared" si="0"/>
        <v>5.3756613756613758</v>
      </c>
      <c r="I14" s="1">
        <f t="shared" si="1"/>
        <v>3.4604787959575917E-2</v>
      </c>
      <c r="J14">
        <f t="shared" si="2"/>
        <v>8930.25</v>
      </c>
    </row>
    <row r="15" spans="1:10" x14ac:dyDescent="0.3">
      <c r="A15">
        <v>13</v>
      </c>
      <c r="B15">
        <f t="shared" si="3"/>
        <v>100.5</v>
      </c>
      <c r="C15" s="1">
        <v>1E-3</v>
      </c>
      <c r="D15">
        <v>420</v>
      </c>
      <c r="E15">
        <v>1</v>
      </c>
      <c r="F15">
        <v>0.52900000000000003</v>
      </c>
      <c r="H15" s="1">
        <f t="shared" si="0"/>
        <v>5.2636815920398012</v>
      </c>
      <c r="I15" s="1">
        <f t="shared" si="1"/>
        <v>3.6092816992506459E-2</v>
      </c>
      <c r="J15">
        <f t="shared" si="2"/>
        <v>10100.25</v>
      </c>
    </row>
    <row r="16" spans="1:10" x14ac:dyDescent="0.3">
      <c r="A16">
        <v>14</v>
      </c>
      <c r="B16">
        <f t="shared" si="3"/>
        <v>106.5</v>
      </c>
      <c r="C16" s="1">
        <v>1E-3</v>
      </c>
      <c r="D16">
        <v>416</v>
      </c>
      <c r="E16">
        <v>1</v>
      </c>
      <c r="F16">
        <v>0.54549999999999998</v>
      </c>
      <c r="H16" s="1">
        <f t="shared" si="0"/>
        <v>5.1220657276995301</v>
      </c>
      <c r="I16" s="1">
        <f t="shared" si="1"/>
        <v>3.811620953371516E-2</v>
      </c>
      <c r="J16">
        <f t="shared" si="2"/>
        <v>11342.25</v>
      </c>
    </row>
    <row r="17" spans="1:10" x14ac:dyDescent="0.3">
      <c r="A17">
        <v>15</v>
      </c>
      <c r="B17">
        <f t="shared" si="3"/>
        <v>112.5</v>
      </c>
      <c r="C17" s="1">
        <v>1E-3</v>
      </c>
      <c r="D17">
        <v>410</v>
      </c>
      <c r="E17">
        <v>1</v>
      </c>
      <c r="F17">
        <v>0.56000000000000005</v>
      </c>
      <c r="H17" s="1">
        <f t="shared" si="0"/>
        <v>4.9777777777777779</v>
      </c>
      <c r="I17" s="1">
        <f t="shared" si="1"/>
        <v>4.0357940051020405E-2</v>
      </c>
      <c r="J17">
        <f t="shared" si="2"/>
        <v>12656.25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CA37-6F8B-472B-A1C5-9D36CC8D1C91}">
  <dimension ref="A1:G17"/>
  <sheetViews>
    <sheetView workbookViewId="0">
      <selection activeCell="B16" sqref="B16"/>
    </sheetView>
  </sheetViews>
  <sheetFormatPr defaultRowHeight="14.4" x14ac:dyDescent="0.3"/>
  <cols>
    <col min="4" max="4" width="9.109375" bestFit="1" customWidth="1"/>
  </cols>
  <sheetData>
    <row r="1" spans="1:7" x14ac:dyDescent="0.3">
      <c r="A1" t="s">
        <v>12</v>
      </c>
      <c r="B1" t="s">
        <v>7</v>
      </c>
      <c r="C1" t="s">
        <v>16</v>
      </c>
      <c r="D1" t="s">
        <v>17</v>
      </c>
      <c r="E1" t="s">
        <v>8</v>
      </c>
      <c r="F1" t="s">
        <v>9</v>
      </c>
      <c r="G1" t="s">
        <v>11</v>
      </c>
    </row>
    <row r="2" spans="1:7" x14ac:dyDescent="0.3">
      <c r="A2">
        <v>0</v>
      </c>
      <c r="B2">
        <f>0.05*2250</f>
        <v>112.5</v>
      </c>
      <c r="C2" s="2">
        <v>45</v>
      </c>
      <c r="D2" s="2">
        <v>-7</v>
      </c>
      <c r="E2" s="1">
        <v>1E-3</v>
      </c>
      <c r="F2">
        <v>416</v>
      </c>
      <c r="G2" t="s">
        <v>18</v>
      </c>
    </row>
    <row r="3" spans="1:7" x14ac:dyDescent="0.3">
      <c r="A3">
        <v>1</v>
      </c>
      <c r="B3">
        <f>2250*((0.5-0.05)/15*A3+0.05)</f>
        <v>180</v>
      </c>
      <c r="C3">
        <v>45</v>
      </c>
      <c r="D3">
        <v>-5</v>
      </c>
      <c r="E3" s="1">
        <v>1E-3</v>
      </c>
      <c r="F3">
        <v>380.5</v>
      </c>
      <c r="G3">
        <v>0.68600000000000005</v>
      </c>
    </row>
    <row r="4" spans="1:7" x14ac:dyDescent="0.3">
      <c r="A4">
        <v>2</v>
      </c>
      <c r="B4">
        <f t="shared" ref="B4:B17" si="0">2250*((0.5-0.05)/15*A4+0.05)</f>
        <v>247.50000000000003</v>
      </c>
      <c r="C4">
        <v>40</v>
      </c>
      <c r="D4">
        <v>-4</v>
      </c>
      <c r="E4" s="1">
        <v>1E-3</v>
      </c>
      <c r="F4">
        <v>357</v>
      </c>
      <c r="G4">
        <v>0.73</v>
      </c>
    </row>
    <row r="5" spans="1:7" x14ac:dyDescent="0.3">
      <c r="A5">
        <v>3</v>
      </c>
      <c r="B5">
        <f t="shared" si="0"/>
        <v>315.00000000000006</v>
      </c>
      <c r="C5">
        <v>45</v>
      </c>
      <c r="D5">
        <v>-3</v>
      </c>
      <c r="E5" s="1">
        <v>1E-3</v>
      </c>
      <c r="F5">
        <v>344</v>
      </c>
      <c r="G5">
        <v>0.75</v>
      </c>
    </row>
    <row r="6" spans="1:7" x14ac:dyDescent="0.3">
      <c r="A6">
        <v>4</v>
      </c>
      <c r="B6">
        <f t="shared" si="0"/>
        <v>382.5</v>
      </c>
      <c r="C6">
        <v>50</v>
      </c>
      <c r="D6">
        <v>-3</v>
      </c>
      <c r="E6" s="1">
        <v>1E-3</v>
      </c>
      <c r="F6">
        <v>335</v>
      </c>
      <c r="G6">
        <v>0.76</v>
      </c>
    </row>
    <row r="7" spans="1:7" x14ac:dyDescent="0.3">
      <c r="A7">
        <v>5</v>
      </c>
      <c r="B7">
        <f t="shared" si="0"/>
        <v>450</v>
      </c>
      <c r="C7">
        <v>50</v>
      </c>
      <c r="D7">
        <v>-2.5</v>
      </c>
      <c r="E7" s="1">
        <v>1E-3</v>
      </c>
      <c r="F7">
        <v>328</v>
      </c>
      <c r="G7">
        <v>0.76</v>
      </c>
    </row>
    <row r="8" spans="1:7" x14ac:dyDescent="0.3">
      <c r="A8">
        <v>6</v>
      </c>
      <c r="B8">
        <f t="shared" si="0"/>
        <v>517.50000000000011</v>
      </c>
      <c r="C8">
        <v>50</v>
      </c>
      <c r="D8">
        <v>-2</v>
      </c>
      <c r="E8" s="1">
        <v>1E-3</v>
      </c>
      <c r="F8">
        <v>321.7</v>
      </c>
      <c r="G8">
        <v>0.75600000000000001</v>
      </c>
    </row>
    <row r="9" spans="1:7" x14ac:dyDescent="0.3">
      <c r="A9">
        <v>7</v>
      </c>
      <c r="B9">
        <f t="shared" si="0"/>
        <v>585</v>
      </c>
      <c r="C9">
        <v>50</v>
      </c>
      <c r="D9">
        <v>-2</v>
      </c>
      <c r="E9" s="1">
        <v>1E-3</v>
      </c>
      <c r="F9">
        <v>320.60000000000002</v>
      </c>
      <c r="G9">
        <v>0.76500000000000001</v>
      </c>
    </row>
    <row r="10" spans="1:7" x14ac:dyDescent="0.3">
      <c r="A10">
        <v>8</v>
      </c>
      <c r="B10">
        <f t="shared" si="0"/>
        <v>652.50000000000011</v>
      </c>
      <c r="C10">
        <v>50</v>
      </c>
      <c r="D10">
        <v>-1.5</v>
      </c>
      <c r="E10" s="1">
        <v>1E-3</v>
      </c>
      <c r="F10">
        <v>313</v>
      </c>
      <c r="G10">
        <v>0.75</v>
      </c>
    </row>
    <row r="11" spans="1:7" x14ac:dyDescent="0.3">
      <c r="A11">
        <v>9</v>
      </c>
      <c r="B11">
        <f t="shared" si="0"/>
        <v>720</v>
      </c>
      <c r="C11">
        <v>50</v>
      </c>
      <c r="D11">
        <v>-1</v>
      </c>
      <c r="E11" s="1">
        <v>1E-3</v>
      </c>
      <c r="F11">
        <v>309</v>
      </c>
      <c r="G11">
        <v>0.74399999999999999</v>
      </c>
    </row>
    <row r="12" spans="1:7" x14ac:dyDescent="0.3">
      <c r="A12">
        <v>10</v>
      </c>
      <c r="B12">
        <f t="shared" si="0"/>
        <v>787.50000000000011</v>
      </c>
      <c r="C12">
        <v>50</v>
      </c>
      <c r="D12">
        <v>-1</v>
      </c>
      <c r="E12" s="1">
        <v>1E-3</v>
      </c>
      <c r="F12">
        <v>302</v>
      </c>
      <c r="G12">
        <v>0.72699999999999998</v>
      </c>
    </row>
    <row r="13" spans="1:7" x14ac:dyDescent="0.3">
      <c r="A13">
        <v>11</v>
      </c>
      <c r="B13">
        <f t="shared" si="0"/>
        <v>855</v>
      </c>
      <c r="C13">
        <v>50</v>
      </c>
      <c r="D13">
        <v>-1</v>
      </c>
      <c r="E13" s="1">
        <v>1E-3</v>
      </c>
      <c r="F13">
        <v>297</v>
      </c>
      <c r="G13">
        <v>0.72</v>
      </c>
    </row>
    <row r="14" spans="1:7" x14ac:dyDescent="0.3">
      <c r="A14">
        <v>12</v>
      </c>
      <c r="B14">
        <f t="shared" si="0"/>
        <v>922.50000000000011</v>
      </c>
      <c r="C14">
        <v>100</v>
      </c>
      <c r="D14">
        <v>0.25</v>
      </c>
      <c r="E14" s="1">
        <v>1E-3</v>
      </c>
      <c r="F14">
        <v>284.5</v>
      </c>
      <c r="G14">
        <v>0.69299999999999995</v>
      </c>
    </row>
    <row r="15" spans="1:7" x14ac:dyDescent="0.3">
      <c r="A15">
        <v>13</v>
      </c>
      <c r="B15">
        <f t="shared" si="0"/>
        <v>990</v>
      </c>
      <c r="C15">
        <v>100</v>
      </c>
      <c r="D15">
        <v>0.25</v>
      </c>
      <c r="E15" s="1">
        <v>1E-3</v>
      </c>
      <c r="F15">
        <v>286.60000000000002</v>
      </c>
      <c r="G15">
        <v>0.69699999999999995</v>
      </c>
    </row>
    <row r="16" spans="1:7" x14ac:dyDescent="0.3">
      <c r="A16">
        <v>14</v>
      </c>
      <c r="B16">
        <f t="shared" si="0"/>
        <v>1057.5</v>
      </c>
      <c r="C16">
        <v>100</v>
      </c>
      <c r="D16">
        <v>0</v>
      </c>
      <c r="E16" s="1">
        <v>1E-3</v>
      </c>
      <c r="F16">
        <v>283.5</v>
      </c>
      <c r="G16">
        <v>0.69399999999999995</v>
      </c>
    </row>
    <row r="17" spans="1:7" x14ac:dyDescent="0.3">
      <c r="A17">
        <v>15</v>
      </c>
      <c r="B17">
        <f t="shared" si="0"/>
        <v>1125</v>
      </c>
      <c r="C17">
        <v>22</v>
      </c>
      <c r="D17">
        <v>1</v>
      </c>
      <c r="E17" s="1">
        <v>1E-3</v>
      </c>
      <c r="F17">
        <v>47.56</v>
      </c>
      <c r="G17">
        <v>9.4100000000000003E-2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1EE5-8BB8-4732-BCAF-11FD0E52860E}">
  <dimension ref="A1:H17"/>
  <sheetViews>
    <sheetView topLeftCell="A2" workbookViewId="0">
      <selection activeCell="E17" sqref="E17"/>
    </sheetView>
  </sheetViews>
  <sheetFormatPr defaultRowHeight="14.4" x14ac:dyDescent="0.3"/>
  <sheetData>
    <row r="1" spans="1:8" x14ac:dyDescent="0.3">
      <c r="C1" t="s">
        <v>7</v>
      </c>
      <c r="D1" t="s">
        <v>16</v>
      </c>
      <c r="E1" t="s">
        <v>17</v>
      </c>
      <c r="F1" t="s">
        <v>8</v>
      </c>
      <c r="G1" t="s">
        <v>9</v>
      </c>
      <c r="H1" t="s">
        <v>11</v>
      </c>
    </row>
    <row r="2" spans="1:8" x14ac:dyDescent="0.3">
      <c r="A2">
        <v>1</v>
      </c>
      <c r="B2">
        <f>EXP(LN(0.5) + (LN(15) - LN(0.5)) * (A2- 1) / 15)</f>
        <v>0.5</v>
      </c>
      <c r="C2">
        <f>2250*B2</f>
        <v>1125</v>
      </c>
      <c r="D2">
        <v>22</v>
      </c>
      <c r="E2">
        <v>1</v>
      </c>
      <c r="F2" s="1">
        <v>1E-3</v>
      </c>
      <c r="G2">
        <v>47.56</v>
      </c>
      <c r="H2">
        <v>9.4100000000000003E-2</v>
      </c>
    </row>
    <row r="3" spans="1:8" x14ac:dyDescent="0.3">
      <c r="A3">
        <v>2</v>
      </c>
      <c r="B3">
        <f t="shared" ref="B3:B17" si="0">EXP(LN(0.5) + (LN(15) - LN(0.5)) * (A3- 1) / 15)</f>
        <v>0.62725589949368177</v>
      </c>
      <c r="C3">
        <v>1411</v>
      </c>
      <c r="D3">
        <v>35</v>
      </c>
      <c r="E3">
        <v>0.5</v>
      </c>
      <c r="F3" s="1">
        <v>1E-3</v>
      </c>
      <c r="G3">
        <v>255</v>
      </c>
      <c r="H3">
        <v>0.62</v>
      </c>
    </row>
    <row r="4" spans="1:8" x14ac:dyDescent="0.3">
      <c r="A4">
        <v>3</v>
      </c>
      <c r="B4">
        <f t="shared" si="0"/>
        <v>0.78689992689925559</v>
      </c>
      <c r="C4">
        <v>1770</v>
      </c>
      <c r="D4">
        <v>53</v>
      </c>
      <c r="E4">
        <v>0.5</v>
      </c>
      <c r="F4" s="1">
        <v>1E-3</v>
      </c>
      <c r="G4">
        <v>228.5</v>
      </c>
      <c r="H4">
        <v>0.55600000000000005</v>
      </c>
    </row>
    <row r="5" spans="1:8" x14ac:dyDescent="0.3">
      <c r="A5">
        <v>4</v>
      </c>
      <c r="B5">
        <f t="shared" si="0"/>
        <v>0.98717524291740999</v>
      </c>
      <c r="C5">
        <v>2221</v>
      </c>
      <c r="D5">
        <v>35</v>
      </c>
      <c r="E5">
        <v>1.5</v>
      </c>
      <c r="F5" s="1">
        <v>1E-3</v>
      </c>
      <c r="G5">
        <v>202</v>
      </c>
      <c r="H5">
        <v>0.49</v>
      </c>
    </row>
    <row r="6" spans="1:8" x14ac:dyDescent="0.3">
      <c r="A6">
        <v>5</v>
      </c>
      <c r="B6">
        <f t="shared" si="0"/>
        <v>1.2384229899081074</v>
      </c>
      <c r="C6">
        <v>2786.5</v>
      </c>
      <c r="D6">
        <v>35</v>
      </c>
      <c r="E6">
        <v>2</v>
      </c>
      <c r="F6" s="1">
        <v>1E-3</v>
      </c>
      <c r="G6">
        <v>172.4</v>
      </c>
      <c r="H6">
        <v>0.41499999999999998</v>
      </c>
    </row>
    <row r="7" spans="1:8" x14ac:dyDescent="0.3">
      <c r="A7">
        <v>6</v>
      </c>
      <c r="B7">
        <f t="shared" si="0"/>
        <v>1.5536162529769293</v>
      </c>
      <c r="C7">
        <v>3500</v>
      </c>
      <c r="D7">
        <v>35</v>
      </c>
      <c r="E7">
        <v>2.5</v>
      </c>
      <c r="F7" s="1">
        <v>1E-3</v>
      </c>
      <c r="G7">
        <v>145.5</v>
      </c>
      <c r="H7">
        <v>0.34599999999999997</v>
      </c>
    </row>
    <row r="8" spans="1:8" x14ac:dyDescent="0.3">
      <c r="A8">
        <v>7</v>
      </c>
      <c r="B8">
        <f t="shared" si="0"/>
        <v>1.9490299204580948</v>
      </c>
      <c r="C8">
        <v>4400</v>
      </c>
      <c r="D8">
        <v>35</v>
      </c>
      <c r="E8">
        <v>3</v>
      </c>
      <c r="F8" s="1">
        <v>1E-3</v>
      </c>
      <c r="G8">
        <v>119.3</v>
      </c>
      <c r="H8">
        <v>0.28000000000000003</v>
      </c>
    </row>
    <row r="9" spans="1:8" x14ac:dyDescent="0.3">
      <c r="A9">
        <v>8</v>
      </c>
      <c r="B9">
        <f t="shared" si="0"/>
        <v>2.4450810317940825</v>
      </c>
      <c r="C9">
        <v>5500</v>
      </c>
      <c r="D9">
        <v>30</v>
      </c>
      <c r="E9">
        <v>3.5</v>
      </c>
      <c r="F9" s="1">
        <v>1E-3</v>
      </c>
      <c r="G9">
        <v>97.6</v>
      </c>
      <c r="H9">
        <v>0.223</v>
      </c>
    </row>
    <row r="10" spans="1:8" x14ac:dyDescent="0.3">
      <c r="A10">
        <v>9</v>
      </c>
      <c r="B10">
        <f t="shared" si="0"/>
        <v>3.0673830038658734</v>
      </c>
      <c r="C10">
        <v>6900</v>
      </c>
      <c r="D10">
        <v>45</v>
      </c>
      <c r="E10">
        <v>7</v>
      </c>
      <c r="F10" s="1">
        <v>1E-3</v>
      </c>
      <c r="G10">
        <v>78.8</v>
      </c>
      <c r="H10">
        <v>0.17299999999999999</v>
      </c>
    </row>
    <row r="11" spans="1:8" x14ac:dyDescent="0.3">
      <c r="A11">
        <v>10</v>
      </c>
      <c r="B11">
        <f t="shared" si="0"/>
        <v>3.8480681703630393</v>
      </c>
      <c r="C11">
        <v>8600</v>
      </c>
      <c r="D11">
        <v>40</v>
      </c>
      <c r="E11">
        <v>7.5</v>
      </c>
      <c r="F11" s="1">
        <v>1E-3</v>
      </c>
      <c r="G11">
        <v>63</v>
      </c>
      <c r="H11">
        <v>0.13200000000000001</v>
      </c>
    </row>
    <row r="12" spans="1:8" x14ac:dyDescent="0.3">
      <c r="A12">
        <v>11</v>
      </c>
      <c r="B12">
        <f t="shared" si="0"/>
        <v>4.8274469230281483</v>
      </c>
      <c r="C12">
        <v>10900</v>
      </c>
      <c r="D12">
        <v>40</v>
      </c>
      <c r="E12">
        <v>8</v>
      </c>
      <c r="F12" s="1">
        <v>1E-3</v>
      </c>
      <c r="G12">
        <v>49</v>
      </c>
      <c r="H12">
        <v>9.6799999999999997E-2</v>
      </c>
    </row>
    <row r="13" spans="1:8" x14ac:dyDescent="0.3">
      <c r="A13">
        <v>12</v>
      </c>
      <c r="B13">
        <f t="shared" si="0"/>
        <v>6.056089123924056</v>
      </c>
      <c r="C13">
        <v>13600</v>
      </c>
      <c r="D13">
        <v>35</v>
      </c>
      <c r="E13">
        <v>8.5</v>
      </c>
      <c r="F13" s="1">
        <v>1E-3</v>
      </c>
      <c r="G13">
        <v>37.4</v>
      </c>
      <c r="H13">
        <v>6.9699999999999998E-2</v>
      </c>
    </row>
    <row r="14" spans="1:8" x14ac:dyDescent="0.3">
      <c r="A14">
        <v>13</v>
      </c>
      <c r="B14">
        <f t="shared" si="0"/>
        <v>7.5974352616817731</v>
      </c>
      <c r="C14">
        <v>17100</v>
      </c>
      <c r="D14">
        <v>50</v>
      </c>
      <c r="E14">
        <v>15</v>
      </c>
      <c r="F14" s="1">
        <v>1E-3</v>
      </c>
      <c r="G14">
        <v>27.6</v>
      </c>
      <c r="H14">
        <v>4.9700000000000001E-2</v>
      </c>
    </row>
    <row r="15" spans="1:8" x14ac:dyDescent="0.3">
      <c r="A15">
        <v>14</v>
      </c>
      <c r="B15">
        <f t="shared" si="0"/>
        <v>9.5310721778224305</v>
      </c>
      <c r="C15">
        <v>21500</v>
      </c>
      <c r="D15">
        <v>40</v>
      </c>
      <c r="E15">
        <v>15</v>
      </c>
      <c r="F15" s="1">
        <v>1E-3</v>
      </c>
      <c r="G15">
        <v>18.579999999999998</v>
      </c>
      <c r="H15">
        <v>3.5000000000000003E-2</v>
      </c>
    </row>
    <row r="16" spans="1:8" x14ac:dyDescent="0.3">
      <c r="A16">
        <v>15</v>
      </c>
      <c r="B16">
        <f t="shared" si="0"/>
        <v>11.956842504078429</v>
      </c>
      <c r="C16">
        <v>26900</v>
      </c>
      <c r="D16">
        <v>30</v>
      </c>
      <c r="E16">
        <v>13.5</v>
      </c>
      <c r="F16" s="1">
        <v>1E-3</v>
      </c>
      <c r="G16">
        <v>10.199999999999999</v>
      </c>
      <c r="H16">
        <v>2.5100000000000001E-2</v>
      </c>
    </row>
    <row r="17" spans="1:8" x14ac:dyDescent="0.3">
      <c r="A17">
        <v>16</v>
      </c>
      <c r="B17">
        <f t="shared" si="0"/>
        <v>15</v>
      </c>
      <c r="C17">
        <f t="shared" ref="C17" si="1">2250*B17</f>
        <v>33750</v>
      </c>
      <c r="D17">
        <v>25</v>
      </c>
      <c r="E17">
        <v>14</v>
      </c>
      <c r="F17" s="1">
        <v>1E-3</v>
      </c>
      <c r="G17">
        <v>2.7</v>
      </c>
      <c r="H17">
        <v>1.55E-2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</vt:lpstr>
      <vt:lpstr>ksi</vt:lpstr>
      <vt:lpstr>fi</vt:lpstr>
      <vt:lpstr>fi2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2025-10-18T07:29:38Z</dcterms:created>
  <dcterms:modified xsi:type="dcterms:W3CDTF">2025-10-25T18:12:39Z</dcterms:modified>
</cp:coreProperties>
</file>