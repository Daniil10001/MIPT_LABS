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Electrodynamic\3.4.4\"/>
    </mc:Choice>
  </mc:AlternateContent>
  <xr:revisionPtr revIDLastSave="0" documentId="13_ncr:1_{8DB7F749-16A3-4524-9584-BD30D00F9E24}" xr6:coauthVersionLast="47" xr6:coauthVersionMax="47" xr10:uidLastSave="{00000000-0000-0000-0000-000000000000}"/>
  <bookViews>
    <workbookView xWindow="-108" yWindow="-108" windowWidth="23256" windowHeight="12576" activeTab="5" xr2:uid="{8BC86585-C8CB-4A0A-8D22-4ABA76491A6E}"/>
  </bookViews>
  <sheets>
    <sheet name="С0" sheetId="1" r:id="rId1"/>
    <sheet name="Tism" sheetId="2" r:id="rId2"/>
    <sheet name="thet" sheetId="3" r:id="rId3"/>
    <sheet name="2.4" sheetId="4" r:id="rId4"/>
    <sheet name="Ah FH" sheetId="5" r:id="rId5"/>
    <sheet name="2.6" sheetId="6" r:id="rId6"/>
    <sheet name="Лист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6" l="1"/>
  <c r="F9" i="6"/>
  <c r="E10" i="6"/>
  <c r="E9" i="6"/>
  <c r="E5" i="6"/>
  <c r="E6" i="6"/>
  <c r="E7" i="6"/>
  <c r="F7" i="6" s="1"/>
  <c r="E4" i="6"/>
  <c r="F4" i="6" s="1"/>
  <c r="E3" i="6"/>
  <c r="F3" i="6" s="1"/>
  <c r="F5" i="6"/>
  <c r="F6" i="6"/>
  <c r="C4" i="4"/>
  <c r="D4" i="4" s="1"/>
  <c r="C5" i="4"/>
  <c r="D5" i="4" s="1"/>
  <c r="C6" i="4"/>
  <c r="D6" i="4" s="1"/>
  <c r="I3" i="3"/>
  <c r="I4" i="3"/>
  <c r="I5" i="3"/>
  <c r="I6" i="3"/>
  <c r="I7" i="3"/>
  <c r="I8" i="3"/>
  <c r="I9" i="3"/>
  <c r="I10" i="3"/>
  <c r="I11" i="3"/>
  <c r="I2" i="3"/>
  <c r="H3" i="3"/>
  <c r="H4" i="3"/>
  <c r="H5" i="3"/>
  <c r="H6" i="3"/>
  <c r="H7" i="3"/>
  <c r="H8" i="3"/>
  <c r="H9" i="3"/>
  <c r="H10" i="3"/>
  <c r="H11" i="3"/>
  <c r="H2" i="3"/>
  <c r="K3" i="3"/>
  <c r="K4" i="3"/>
  <c r="K5" i="3"/>
  <c r="K6" i="3"/>
  <c r="K7" i="3"/>
  <c r="K8" i="3"/>
  <c r="K9" i="3"/>
  <c r="K10" i="3"/>
  <c r="K11" i="3"/>
  <c r="K2" i="3"/>
  <c r="F2" i="3"/>
  <c r="G2" i="3" s="1"/>
  <c r="J3" i="3"/>
  <c r="J4" i="3"/>
  <c r="J5" i="3"/>
  <c r="J6" i="3"/>
  <c r="J7" i="3"/>
  <c r="J8" i="3"/>
  <c r="J9" i="3"/>
  <c r="J10" i="3"/>
  <c r="J11" i="3"/>
  <c r="J2" i="3"/>
  <c r="C3" i="4"/>
  <c r="D3" i="4" s="1"/>
  <c r="F6" i="3"/>
  <c r="F3" i="3"/>
  <c r="G3" i="3" s="1"/>
  <c r="F4" i="3"/>
  <c r="G4" i="3" s="1"/>
  <c r="F5" i="3"/>
  <c r="F7" i="3"/>
  <c r="F8" i="3"/>
  <c r="G8" i="3" s="1"/>
  <c r="F9" i="3"/>
  <c r="G9" i="3" s="1"/>
  <c r="F10" i="3"/>
  <c r="F11" i="3"/>
  <c r="G11" i="3" s="1"/>
  <c r="G7" i="3"/>
  <c r="E2" i="3"/>
  <c r="G5" i="3"/>
  <c r="G6" i="3"/>
  <c r="G10" i="3"/>
  <c r="F6" i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B13" i="1"/>
  <c r="C2" i="5"/>
  <c r="E11" i="3"/>
  <c r="E10" i="3"/>
  <c r="E9" i="3"/>
  <c r="E8" i="3"/>
  <c r="E7" i="3"/>
  <c r="E6" i="3"/>
  <c r="E5" i="3"/>
  <c r="H6" i="1"/>
  <c r="H7" i="1"/>
  <c r="H8" i="1"/>
  <c r="H9" i="1"/>
  <c r="H10" i="1"/>
  <c r="E3" i="3"/>
  <c r="E4" i="3"/>
  <c r="E6" i="1"/>
  <c r="D5" i="2"/>
  <c r="F5" i="2" s="1"/>
  <c r="D9" i="2"/>
  <c r="F9" i="2" s="1"/>
  <c r="B8" i="2"/>
  <c r="D8" i="2" s="1"/>
  <c r="F8" i="2" s="1"/>
  <c r="B9" i="2"/>
  <c r="B10" i="2"/>
  <c r="D10" i="2" s="1"/>
  <c r="F10" i="2" s="1"/>
  <c r="B3" i="2"/>
  <c r="D3" i="2" s="1"/>
  <c r="F3" i="2" s="1"/>
  <c r="B4" i="2"/>
  <c r="D4" i="2" s="1"/>
  <c r="F4" i="2" s="1"/>
  <c r="B5" i="2"/>
  <c r="B6" i="2"/>
  <c r="D6" i="2" s="1"/>
  <c r="F6" i="2" s="1"/>
  <c r="B7" i="2"/>
  <c r="D7" i="2" s="1"/>
  <c r="F7" i="2" s="1"/>
  <c r="B2" i="2"/>
  <c r="D2" i="2" s="1"/>
  <c r="F2" i="2" s="1"/>
  <c r="B2" i="1"/>
</calcChain>
</file>

<file path=xl/sharedStrings.xml><?xml version="1.0" encoding="utf-8"?>
<sst xmlns="http://schemas.openxmlformats.org/spreadsheetml/2006/main" count="42" uniqueCount="28">
  <si>
    <t>L</t>
  </si>
  <si>
    <t>C</t>
  </si>
  <si>
    <t>R</t>
  </si>
  <si>
    <t>T</t>
  </si>
  <si>
    <t>T=2*pi*sqrt(LC)</t>
  </si>
  <si>
    <t>C=T^2/4piL</t>
  </si>
  <si>
    <t>C0</t>
  </si>
  <si>
    <t>C1</t>
  </si>
  <si>
    <t>Tt</t>
  </si>
  <si>
    <t>Nu0</t>
  </si>
  <si>
    <t>6.5e3</t>
  </si>
  <si>
    <t>C*</t>
  </si>
  <si>
    <t>6нф</t>
  </si>
  <si>
    <t>Rcr</t>
  </si>
  <si>
    <t>n</t>
  </si>
  <si>
    <t>U</t>
  </si>
  <si>
    <t>Un</t>
  </si>
  <si>
    <t>thet</t>
  </si>
  <si>
    <t>2U</t>
  </si>
  <si>
    <t>nu</t>
  </si>
  <si>
    <t>U0</t>
  </si>
  <si>
    <t>l</t>
  </si>
  <si>
    <t>Rf</t>
  </si>
  <si>
    <t>-</t>
  </si>
  <si>
    <t>Q</t>
  </si>
  <si>
    <t>$\Theta$</t>
  </si>
  <si>
    <t>делений</t>
  </si>
  <si>
    <t>Theta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</si>
</sst>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Tism!$E$1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Tism!$E$2:$E$10</c:f>
              <c:numCache>
                <c:formatCode>0.000E+00</c:formatCode>
                <c:ptCount val="9"/>
                <c:pt idx="0">
                  <c:v>9.2999999999999997E-5</c:v>
                </c:pt>
                <c:pt idx="1">
                  <c:v>1.12E-4</c:v>
                </c:pt>
                <c:pt idx="2">
                  <c:v>1.27E-4</c:v>
                </c:pt>
                <c:pt idx="3">
                  <c:v>1.44E-4</c:v>
                </c:pt>
                <c:pt idx="4">
                  <c:v>1.56E-4</c:v>
                </c:pt>
                <c:pt idx="5">
                  <c:v>1.6799999999999999E-4</c:v>
                </c:pt>
                <c:pt idx="6">
                  <c:v>1.7899999999999999E-4</c:v>
                </c:pt>
                <c:pt idx="7">
                  <c:v>1.9100000000000001E-4</c:v>
                </c:pt>
                <c:pt idx="8">
                  <c:v>2.0100000000000001E-4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23-4072-8582-DFE8FFB9FA49}"/>
            </c:ext>
          </c:extLst>
        </c:ser>
        <c:ser>
          <c:idx val="1"/>
          <c:order val="1"/>
          <c:tx>
            <c:strRef>
              <c:f>Tism!$F$1</c:f>
              <c:strCache>
                <c:ptCount val="1"/>
                <c:pt idx="0">
                  <c:v>Tt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Tism!$F$2:$F$10</c:f>
              <c:numCache>
                <c:formatCode>0.000E+00</c:formatCode>
                <c:ptCount val="9"/>
                <c:pt idx="0">
                  <c:v>9.3321175305692241E-5</c:v>
                </c:pt>
                <c:pt idx="1">
                  <c:v>1.1250192674292953E-4</c:v>
                </c:pt>
                <c:pt idx="2">
                  <c:v>1.2885854756789411E-4</c:v>
                </c:pt>
                <c:pt idx="3">
                  <c:v>1.4336096763674196E-4</c:v>
                </c:pt>
                <c:pt idx="4">
                  <c:v>1.5652542541765769E-4</c:v>
                </c:pt>
                <c:pt idx="5">
                  <c:v>1.6866549902874167E-4</c:v>
                </c:pt>
                <c:pt idx="6">
                  <c:v>1.7998858942458047E-4</c:v>
                </c:pt>
                <c:pt idx="7">
                  <c:v>1.9064032648809104E-4</c:v>
                </c:pt>
                <c:pt idx="8">
                  <c:v>2.007276160470245E-4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23-4072-8582-DFE8FFB9F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974208"/>
        <c:axId val="495972768"/>
      </c:lineChart>
      <c:catAx>
        <c:axId val="495974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5972768"/>
        <c:crosses val="autoZero"/>
        <c:auto val="1"/>
        <c:lblAlgn val="ctr"/>
        <c:lblOffset val="100"/>
        <c:noMultiLvlLbl val="0"/>
      </c:catAx>
      <c:valAx>
        <c:axId val="4959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597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335280</xdr:colOff>
      <xdr:row>5</xdr:row>
      <xdr:rowOff>179070</xdr:rowOff>
    </xdr:from>
    <xdr:to>
      <xdr:col>20</xdr:col>
      <xdr:colOff>30480</xdr:colOff>
      <xdr:row>20</xdr:row>
      <xdr:rowOff>179070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986B24B-8655-C8D7-6C03-1BBC27B1A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7D82-63DD-4EA4-9680-8DE8D928C4C9}">
  <dimension ref="A1:I13"/>
  <sheetViews>
    <sheetView workbookViewId="0">
      <selection activeCell="E6" sqref="E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 s="1">
        <v>0.1</v>
      </c>
      <c r="B2" s="1">
        <f>D2*D2/(4*PI()*PI()*A2)</f>
        <v>1.2059753883029254E-9</v>
      </c>
      <c r="D2" s="1">
        <v>6.8999999999999997E-5</v>
      </c>
      <c r="F2" s="1"/>
      <c r="G2" t="s">
        <v>4</v>
      </c>
    </row>
    <row r="3" spans="1:9" x14ac:dyDescent="0.3">
      <c r="G3" t="s">
        <v>5</v>
      </c>
    </row>
    <row r="5" spans="1:9" x14ac:dyDescent="0.3">
      <c r="A5" t="s">
        <v>9</v>
      </c>
      <c r="B5" t="s">
        <v>10</v>
      </c>
    </row>
    <row r="6" spans="1:9" x14ac:dyDescent="0.3">
      <c r="A6" t="s">
        <v>11</v>
      </c>
      <c r="B6" t="s">
        <v>12</v>
      </c>
      <c r="D6" t="s">
        <v>13</v>
      </c>
      <c r="E6">
        <f>2*SQRT(0.1/0.000000006)</f>
        <v>8164.9658092772606</v>
      </c>
      <c r="F6">
        <f>0.05*E6</f>
        <v>408.24829046386304</v>
      </c>
      <c r="G6">
        <v>0.05</v>
      </c>
      <c r="H6">
        <f t="shared" ref="H6:H9" si="0">G6*E$6</f>
        <v>408.24829046386304</v>
      </c>
      <c r="I6">
        <v>400</v>
      </c>
    </row>
    <row r="7" spans="1:9" x14ac:dyDescent="0.3">
      <c r="E7">
        <v>7000</v>
      </c>
      <c r="G7">
        <v>0.1</v>
      </c>
      <c r="H7">
        <f t="shared" si="0"/>
        <v>816.49658092772609</v>
      </c>
      <c r="I7">
        <v>800</v>
      </c>
    </row>
    <row r="8" spans="1:9" x14ac:dyDescent="0.3">
      <c r="G8">
        <v>0.15</v>
      </c>
      <c r="H8">
        <f t="shared" si="0"/>
        <v>1224.744871391589</v>
      </c>
      <c r="I8">
        <v>1200</v>
      </c>
    </row>
    <row r="9" spans="1:9" x14ac:dyDescent="0.3">
      <c r="G9">
        <v>0.2</v>
      </c>
      <c r="H9">
        <f t="shared" si="0"/>
        <v>1632.9931618554522</v>
      </c>
      <c r="I9">
        <v>1600</v>
      </c>
    </row>
    <row r="10" spans="1:9" x14ac:dyDescent="0.3">
      <c r="G10">
        <v>0.25</v>
      </c>
      <c r="H10">
        <f>G10*E$6</f>
        <v>2041.2414523193152</v>
      </c>
      <c r="I10">
        <v>2000</v>
      </c>
    </row>
    <row r="13" spans="1:9" x14ac:dyDescent="0.3">
      <c r="B13">
        <f>7700-6500</f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665FB-9775-45FA-8E81-1562CEC6F49C}">
  <dimension ref="A1:F10"/>
  <sheetViews>
    <sheetView workbookViewId="0">
      <selection activeCell="B10" sqref="B10"/>
    </sheetView>
  </sheetViews>
  <sheetFormatPr defaultRowHeight="14.4" x14ac:dyDescent="0.3"/>
  <cols>
    <col min="5" max="6" width="9.109375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1</v>
      </c>
      <c r="E1" t="s">
        <v>3</v>
      </c>
      <c r="F1" t="s">
        <v>8</v>
      </c>
    </row>
    <row r="2" spans="1:6" x14ac:dyDescent="0.3">
      <c r="A2">
        <v>0.1</v>
      </c>
      <c r="B2" s="1">
        <f>С0!$B$2</f>
        <v>1.2059753883029254E-9</v>
      </c>
      <c r="C2" s="1">
        <v>1.0000000000000001E-9</v>
      </c>
      <c r="D2" s="1">
        <f>C2+B2</f>
        <v>2.2059753883029254E-9</v>
      </c>
      <c r="E2" s="2">
        <v>9.2999999999999997E-5</v>
      </c>
      <c r="F2" s="2">
        <f>2*PI()*SQRT(D2*A2)</f>
        <v>9.3321175305692241E-5</v>
      </c>
    </row>
    <row r="3" spans="1:6" x14ac:dyDescent="0.3">
      <c r="A3">
        <v>0.1</v>
      </c>
      <c r="B3" s="1">
        <f>С0!$B$2</f>
        <v>1.2059753883029254E-9</v>
      </c>
      <c r="C3" s="1">
        <v>2.0000000000000001E-9</v>
      </c>
      <c r="D3" s="1">
        <f t="shared" ref="D3:D10" si="0">C3+B3</f>
        <v>3.2059753883029253E-9</v>
      </c>
      <c r="E3" s="2">
        <v>1.12E-4</v>
      </c>
      <c r="F3" s="2">
        <f t="shared" ref="F3:F10" si="1">2*PI()*SQRT(D3*A3)</f>
        <v>1.1250192674292953E-4</v>
      </c>
    </row>
    <row r="4" spans="1:6" x14ac:dyDescent="0.3">
      <c r="A4">
        <v>0.1</v>
      </c>
      <c r="B4" s="1">
        <f>С0!$B$2</f>
        <v>1.2059753883029254E-9</v>
      </c>
      <c r="C4" s="1">
        <v>3E-9</v>
      </c>
      <c r="D4" s="1">
        <f t="shared" si="0"/>
        <v>4.2059753883029252E-9</v>
      </c>
      <c r="E4" s="2">
        <v>1.27E-4</v>
      </c>
      <c r="F4" s="2">
        <f t="shared" si="1"/>
        <v>1.2885854756789411E-4</v>
      </c>
    </row>
    <row r="5" spans="1:6" x14ac:dyDescent="0.3">
      <c r="A5">
        <v>0.1</v>
      </c>
      <c r="B5" s="1">
        <f>С0!$B$2</f>
        <v>1.2059753883029254E-9</v>
      </c>
      <c r="C5" s="1">
        <v>4.0000000000000002E-9</v>
      </c>
      <c r="D5" s="1">
        <f t="shared" si="0"/>
        <v>5.2059753883029258E-9</v>
      </c>
      <c r="E5" s="2">
        <v>1.44E-4</v>
      </c>
      <c r="F5" s="2">
        <f t="shared" si="1"/>
        <v>1.4336096763674196E-4</v>
      </c>
    </row>
    <row r="6" spans="1:6" x14ac:dyDescent="0.3">
      <c r="A6">
        <v>0.1</v>
      </c>
      <c r="B6" s="1">
        <f>С0!$B$2</f>
        <v>1.2059753883029254E-9</v>
      </c>
      <c r="C6" s="1">
        <v>5.0000000000000001E-9</v>
      </c>
      <c r="D6" s="1">
        <f t="shared" si="0"/>
        <v>6.2059753883029257E-9</v>
      </c>
      <c r="E6" s="2">
        <v>1.56E-4</v>
      </c>
      <c r="F6" s="2">
        <f t="shared" si="1"/>
        <v>1.5652542541765769E-4</v>
      </c>
    </row>
    <row r="7" spans="1:6" x14ac:dyDescent="0.3">
      <c r="A7">
        <v>0.1</v>
      </c>
      <c r="B7" s="1">
        <f>С0!$B$2</f>
        <v>1.2059753883029254E-9</v>
      </c>
      <c r="C7" s="1">
        <v>6E-9</v>
      </c>
      <c r="D7" s="1">
        <f t="shared" si="0"/>
        <v>7.2059753883029256E-9</v>
      </c>
      <c r="E7" s="2">
        <v>1.6799999999999999E-4</v>
      </c>
      <c r="F7" s="2">
        <f t="shared" si="1"/>
        <v>1.6866549902874167E-4</v>
      </c>
    </row>
    <row r="8" spans="1:6" x14ac:dyDescent="0.3">
      <c r="A8">
        <v>0.1</v>
      </c>
      <c r="B8" s="1">
        <f>С0!$B$2</f>
        <v>1.2059753883029254E-9</v>
      </c>
      <c r="C8" s="1">
        <v>6.9999999999999998E-9</v>
      </c>
      <c r="D8" s="1">
        <f t="shared" si="0"/>
        <v>8.2059753883029246E-9</v>
      </c>
      <c r="E8" s="2">
        <v>1.7899999999999999E-4</v>
      </c>
      <c r="F8" s="2">
        <f t="shared" si="1"/>
        <v>1.7998858942458047E-4</v>
      </c>
    </row>
    <row r="9" spans="1:6" x14ac:dyDescent="0.3">
      <c r="A9">
        <v>0.1</v>
      </c>
      <c r="B9" s="1">
        <f>С0!$B$2</f>
        <v>1.2059753883029254E-9</v>
      </c>
      <c r="C9" s="1">
        <v>8.0000000000000005E-9</v>
      </c>
      <c r="D9" s="1">
        <f t="shared" si="0"/>
        <v>9.2059753883029253E-9</v>
      </c>
      <c r="E9" s="2">
        <v>1.9100000000000001E-4</v>
      </c>
      <c r="F9" s="2">
        <f t="shared" si="1"/>
        <v>1.9064032648809104E-4</v>
      </c>
    </row>
    <row r="10" spans="1:6" x14ac:dyDescent="0.3">
      <c r="A10">
        <v>0.1</v>
      </c>
      <c r="B10" s="1">
        <f>С0!$B$2</f>
        <v>1.2059753883029254E-9</v>
      </c>
      <c r="C10" s="1">
        <v>8.9999999999999995E-9</v>
      </c>
      <c r="D10" s="1">
        <f t="shared" si="0"/>
        <v>1.0205975388302924E-8</v>
      </c>
      <c r="E10" s="2">
        <v>2.0100000000000001E-4</v>
      </c>
      <c r="F10" s="2">
        <f t="shared" si="1"/>
        <v>2.007276160470245E-4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C780-5741-4BC4-9141-6DA2B2A721E5}">
  <dimension ref="A1:K11"/>
  <sheetViews>
    <sheetView workbookViewId="0">
      <selection activeCell="I13" sqref="I13"/>
    </sheetView>
  </sheetViews>
  <sheetFormatPr defaultRowHeight="14.4" x14ac:dyDescent="0.3"/>
  <sheetData>
    <row r="1" spans="1:11" x14ac:dyDescent="0.3">
      <c r="A1" t="s">
        <v>14</v>
      </c>
      <c r="B1" t="s">
        <v>2</v>
      </c>
      <c r="C1" t="s">
        <v>15</v>
      </c>
      <c r="D1" t="s">
        <v>16</v>
      </c>
      <c r="E1" t="s">
        <v>17</v>
      </c>
      <c r="F1" t="s">
        <v>22</v>
      </c>
    </row>
    <row r="2" spans="1:11" x14ac:dyDescent="0.3">
      <c r="A2">
        <v>1</v>
      </c>
      <c r="B2">
        <v>408.25</v>
      </c>
      <c r="C2">
        <v>2.84</v>
      </c>
      <c r="D2">
        <v>1.96</v>
      </c>
      <c r="E2">
        <f>LN(C2/D2)/A2</f>
        <v>0.37085957893068883</v>
      </c>
      <c r="F2">
        <f>SQRT(0.1/(0.00000000621))*(2*E2/SQRT(4*PI()*PI()+E2*E2))</f>
        <v>472.8883715503423</v>
      </c>
      <c r="G2">
        <f>F2-B2</f>
        <v>64.638371550342299</v>
      </c>
      <c r="H2">
        <f>(G2-60)/B2</f>
        <v>1.1361595959197304E-2</v>
      </c>
      <c r="I2">
        <f>(G2-60)/F2</f>
        <v>9.808597185707096E-3</v>
      </c>
      <c r="J2">
        <f>PI()/E2</f>
        <v>8.471110986665213</v>
      </c>
      <c r="K2">
        <f>SQRT(0.1/(0.00000000621))/(B2+60)</f>
        <v>8.5699130155379404</v>
      </c>
    </row>
    <row r="3" spans="1:11" x14ac:dyDescent="0.3">
      <c r="A3">
        <v>2</v>
      </c>
      <c r="B3">
        <v>408.25</v>
      </c>
      <c r="C3">
        <v>2.84</v>
      </c>
      <c r="D3">
        <v>1.36</v>
      </c>
      <c r="E3">
        <f>LN(C3/D3)/A3</f>
        <v>0.36815967621257695</v>
      </c>
      <c r="F3">
        <f t="shared" ref="F3:F11" si="0">SQRT(0.1/(0.00000000621))*(2*E3/SQRT(4*PI()*PI()+E3*E3))</f>
        <v>469.45750924255833</v>
      </c>
      <c r="G3">
        <f t="shared" ref="G3:G11" si="1">F3-B3</f>
        <v>61.207509242558331</v>
      </c>
      <c r="H3">
        <f t="shared" ref="H3:H11" si="2">(G3-60)/B3</f>
        <v>2.9577691183302651E-3</v>
      </c>
      <c r="I3">
        <f t="shared" ref="I3:I12" si="3">(G3-60)/F3</f>
        <v>2.5721374539446067E-3</v>
      </c>
      <c r="J3">
        <f t="shared" ref="J3:J11" si="4">PI()/E3</f>
        <v>8.5332339649707443</v>
      </c>
      <c r="K3">
        <f t="shared" ref="K3:K11" si="5">SQRT(0.1/(0.00000000621))/(B3+60)</f>
        <v>8.5699130155379404</v>
      </c>
    </row>
    <row r="4" spans="1:11" x14ac:dyDescent="0.3">
      <c r="A4">
        <v>3</v>
      </c>
      <c r="B4">
        <v>408.25</v>
      </c>
      <c r="C4">
        <v>2.84</v>
      </c>
      <c r="D4">
        <v>0.94</v>
      </c>
      <c r="E4">
        <f>LN(C4/D4)/A4</f>
        <v>0.36855981863040072</v>
      </c>
      <c r="F4">
        <f t="shared" si="0"/>
        <v>469.96600077663902</v>
      </c>
      <c r="G4">
        <f t="shared" si="1"/>
        <v>61.716000776639021</v>
      </c>
      <c r="H4">
        <f t="shared" si="2"/>
        <v>4.2033086996669218E-3</v>
      </c>
      <c r="I4">
        <f t="shared" si="3"/>
        <v>3.6513296149152403E-3</v>
      </c>
      <c r="J4">
        <f t="shared" si="4"/>
        <v>8.5239695017872972</v>
      </c>
      <c r="K4">
        <f t="shared" si="5"/>
        <v>8.5699130155379404</v>
      </c>
    </row>
    <row r="5" spans="1:11" x14ac:dyDescent="0.3">
      <c r="A5">
        <v>2</v>
      </c>
      <c r="B5">
        <v>500</v>
      </c>
      <c r="C5">
        <v>2.66</v>
      </c>
      <c r="D5">
        <v>1.1000000000000001</v>
      </c>
      <c r="E5">
        <f t="shared" ref="E5:E11" si="6">LN(C5/D5)/A5</f>
        <v>0.44150797149464138</v>
      </c>
      <c r="F5">
        <f t="shared" si="0"/>
        <v>562.56579789541502</v>
      </c>
      <c r="G5">
        <f t="shared" si="1"/>
        <v>62.565797895415017</v>
      </c>
      <c r="H5">
        <f t="shared" si="2"/>
        <v>5.1315957908300335E-3</v>
      </c>
      <c r="I5">
        <f t="shared" si="3"/>
        <v>4.56088497561314E-3</v>
      </c>
      <c r="J5">
        <f t="shared" si="4"/>
        <v>7.1155966741767491</v>
      </c>
      <c r="K5">
        <f t="shared" si="5"/>
        <v>7.1658245884386433</v>
      </c>
    </row>
    <row r="6" spans="1:11" x14ac:dyDescent="0.3">
      <c r="A6">
        <v>2</v>
      </c>
      <c r="B6">
        <v>750</v>
      </c>
      <c r="C6">
        <v>2.2799999999999998</v>
      </c>
      <c r="D6">
        <v>0.66</v>
      </c>
      <c r="E6">
        <f t="shared" si="6"/>
        <v>0.61984544346400761</v>
      </c>
      <c r="F6">
        <f>SQRT(0.1/(0.00000000621))*(2*E6/SQRT(4*PI()*PI()+E6*E6))</f>
        <v>787.92459328976076</v>
      </c>
      <c r="G6">
        <f t="shared" si="1"/>
        <v>37.924593289760764</v>
      </c>
      <c r="H6">
        <f t="shared" si="2"/>
        <v>-2.9433875613652315E-2</v>
      </c>
      <c r="I6">
        <f t="shared" si="3"/>
        <v>-2.8017156588639392E-2</v>
      </c>
      <c r="J6">
        <f t="shared" si="4"/>
        <v>5.0683483870317669</v>
      </c>
      <c r="K6">
        <f t="shared" si="5"/>
        <v>4.9541503327477043</v>
      </c>
    </row>
    <row r="7" spans="1:11" x14ac:dyDescent="0.3">
      <c r="A7">
        <v>2</v>
      </c>
      <c r="B7">
        <v>1000</v>
      </c>
      <c r="C7">
        <v>1.99</v>
      </c>
      <c r="D7">
        <v>0.36</v>
      </c>
      <c r="E7">
        <f t="shared" si="6"/>
        <v>0.85489294313419117</v>
      </c>
      <c r="F7">
        <f t="shared" si="0"/>
        <v>1082.0140244316456</v>
      </c>
      <c r="G7">
        <f>F7-B7</f>
        <v>82.014024431645566</v>
      </c>
      <c r="H7">
        <f t="shared" si="2"/>
        <v>2.2014024431645567E-2</v>
      </c>
      <c r="I7">
        <f t="shared" si="3"/>
        <v>2.0345415063551486E-2</v>
      </c>
      <c r="J7">
        <f t="shared" si="4"/>
        <v>3.6748375089776153</v>
      </c>
      <c r="K7">
        <f t="shared" si="5"/>
        <v>3.7857186504958871</v>
      </c>
    </row>
    <row r="8" spans="1:11" x14ac:dyDescent="0.3">
      <c r="A8">
        <v>2</v>
      </c>
      <c r="B8">
        <v>1250</v>
      </c>
      <c r="C8">
        <v>1.74</v>
      </c>
      <c r="D8">
        <v>0.22</v>
      </c>
      <c r="E8">
        <f t="shared" si="6"/>
        <v>1.0340064229281065</v>
      </c>
      <c r="F8">
        <f t="shared" si="0"/>
        <v>1303.2415733433147</v>
      </c>
      <c r="G8">
        <f t="shared" si="1"/>
        <v>53.241573343314712</v>
      </c>
      <c r="H8">
        <f t="shared" si="2"/>
        <v>-5.4067413253482298E-3</v>
      </c>
      <c r="I8">
        <f t="shared" si="3"/>
        <v>-5.1858587041137202E-3</v>
      </c>
      <c r="J8">
        <f t="shared" si="4"/>
        <v>3.038271894572385</v>
      </c>
      <c r="K8">
        <f t="shared" si="5"/>
        <v>3.063253259179878</v>
      </c>
    </row>
    <row r="9" spans="1:11" x14ac:dyDescent="0.3">
      <c r="A9">
        <v>1</v>
      </c>
      <c r="B9">
        <v>1500</v>
      </c>
      <c r="C9">
        <v>1.52</v>
      </c>
      <c r="D9">
        <v>0.43</v>
      </c>
      <c r="E9">
        <f t="shared" si="6"/>
        <v>1.2626804051527141</v>
      </c>
      <c r="F9">
        <f t="shared" si="0"/>
        <v>1581.2501880201771</v>
      </c>
      <c r="G9">
        <f t="shared" si="1"/>
        <v>81.25018802017712</v>
      </c>
      <c r="H9">
        <f t="shared" si="2"/>
        <v>1.4166792013451413E-2</v>
      </c>
      <c r="I9">
        <f t="shared" si="3"/>
        <v>1.3438852485945736E-2</v>
      </c>
      <c r="J9">
        <f t="shared" si="4"/>
        <v>2.4880346925236676</v>
      </c>
      <c r="K9">
        <f t="shared" si="5"/>
        <v>2.5723472881574616</v>
      </c>
    </row>
    <row r="10" spans="1:11" x14ac:dyDescent="0.3">
      <c r="A10">
        <v>1</v>
      </c>
      <c r="B10">
        <v>1750</v>
      </c>
      <c r="C10">
        <v>1.32</v>
      </c>
      <c r="D10">
        <v>0.3</v>
      </c>
      <c r="E10">
        <f t="shared" si="6"/>
        <v>1.4816045409242156</v>
      </c>
      <c r="F10">
        <f t="shared" si="0"/>
        <v>1841.9852357572809</v>
      </c>
      <c r="G10">
        <f t="shared" si="1"/>
        <v>91.985235757280861</v>
      </c>
      <c r="H10">
        <f t="shared" si="2"/>
        <v>1.8277277575589064E-2</v>
      </c>
      <c r="I10">
        <f t="shared" si="3"/>
        <v>1.7364545131183434E-2</v>
      </c>
      <c r="J10">
        <f t="shared" si="4"/>
        <v>2.1203989099750515</v>
      </c>
      <c r="K10">
        <f t="shared" si="5"/>
        <v>2.2170507013953813</v>
      </c>
    </row>
    <row r="11" spans="1:11" x14ac:dyDescent="0.3">
      <c r="A11">
        <v>1</v>
      </c>
      <c r="B11">
        <v>2000</v>
      </c>
      <c r="C11">
        <v>1.1399999999999999</v>
      </c>
      <c r="D11">
        <v>0.2</v>
      </c>
      <c r="E11">
        <f t="shared" si="6"/>
        <v>1.7404661748405044</v>
      </c>
      <c r="F11">
        <f t="shared" si="0"/>
        <v>2142.4775777281607</v>
      </c>
      <c r="G11">
        <f t="shared" si="1"/>
        <v>142.47757772816067</v>
      </c>
      <c r="H11">
        <f t="shared" si="2"/>
        <v>4.1238788864080334E-2</v>
      </c>
      <c r="I11">
        <f t="shared" si="3"/>
        <v>3.8496355147678234E-2</v>
      </c>
      <c r="J11">
        <f t="shared" si="4"/>
        <v>1.8050294220039567</v>
      </c>
      <c r="K11">
        <f t="shared" si="5"/>
        <v>1.9479911502551652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48CF-0601-4884-BFEF-3D954540EC11}">
  <dimension ref="A1:D6"/>
  <sheetViews>
    <sheetView workbookViewId="0">
      <selection activeCell="B10" sqref="B10"/>
    </sheetView>
  </sheetViews>
  <sheetFormatPr defaultRowHeight="14.4" x14ac:dyDescent="0.3"/>
  <sheetData>
    <row r="1" spans="1:4" x14ac:dyDescent="0.3">
      <c r="A1" t="s">
        <v>14</v>
      </c>
      <c r="B1" t="s">
        <v>26</v>
      </c>
      <c r="C1" t="s">
        <v>25</v>
      </c>
      <c r="D1" t="s">
        <v>24</v>
      </c>
    </row>
    <row r="2" spans="1:4" x14ac:dyDescent="0.3">
      <c r="A2">
        <v>5</v>
      </c>
      <c r="B2">
        <v>4</v>
      </c>
      <c r="C2" t="s">
        <v>23</v>
      </c>
      <c r="D2" t="s">
        <v>23</v>
      </c>
    </row>
    <row r="3" spans="1:4" x14ac:dyDescent="0.3">
      <c r="A3">
        <v>4</v>
      </c>
      <c r="B3">
        <v>6</v>
      </c>
      <c r="C3">
        <f>LN(6/4)</f>
        <v>0.40546510810816438</v>
      </c>
      <c r="D3">
        <f t="shared" ref="D3:D5" si="0">PI()/C3</f>
        <v>7.7481208389248684</v>
      </c>
    </row>
    <row r="4" spans="1:4" x14ac:dyDescent="0.3">
      <c r="A4">
        <v>3</v>
      </c>
      <c r="B4">
        <v>9</v>
      </c>
      <c r="C4">
        <f>LN(9/4)/2</f>
        <v>0.40546510810816438</v>
      </c>
      <c r="D4">
        <f t="shared" si="0"/>
        <v>7.7481208389248684</v>
      </c>
    </row>
    <row r="5" spans="1:4" x14ac:dyDescent="0.3">
      <c r="A5">
        <v>2</v>
      </c>
      <c r="B5">
        <v>13</v>
      </c>
      <c r="C5">
        <f>LN(13/4)/3</f>
        <v>0.39288499878054872</v>
      </c>
      <c r="D5">
        <f t="shared" si="0"/>
        <v>7.9962143205792708</v>
      </c>
    </row>
    <row r="6" spans="1:4" x14ac:dyDescent="0.3">
      <c r="A6">
        <v>1</v>
      </c>
      <c r="B6">
        <v>18</v>
      </c>
      <c r="C6">
        <f>LN(18/4)/4</f>
        <v>0.37601934919406854</v>
      </c>
      <c r="D6">
        <f>PI()/C6</f>
        <v>8.3548696638171549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013B-1BB9-4D83-8DE5-9B83C5E8C46F}">
  <dimension ref="A1:D23"/>
  <sheetViews>
    <sheetView workbookViewId="0">
      <selection activeCell="D14" sqref="D14"/>
    </sheetView>
  </sheetViews>
  <sheetFormatPr defaultRowHeight="14.4" x14ac:dyDescent="0.3"/>
  <sheetData>
    <row r="1" spans="1:4" x14ac:dyDescent="0.3">
      <c r="A1" t="s">
        <v>19</v>
      </c>
      <c r="B1" t="s">
        <v>18</v>
      </c>
      <c r="C1" t="s">
        <v>15</v>
      </c>
      <c r="D1" t="s">
        <v>3</v>
      </c>
    </row>
    <row r="2" spans="1:4" x14ac:dyDescent="0.3">
      <c r="A2" s="3">
        <v>6500</v>
      </c>
      <c r="B2">
        <v>205</v>
      </c>
      <c r="C2">
        <f>B2/10</f>
        <v>20.5</v>
      </c>
      <c r="D2" s="1">
        <v>3.0800000000000003E-5</v>
      </c>
    </row>
    <row r="3" spans="1:4" x14ac:dyDescent="0.3">
      <c r="A3">
        <v>6400</v>
      </c>
      <c r="B3">
        <v>205</v>
      </c>
      <c r="C3">
        <f t="shared" ref="C3:C23" si="0">B3/10</f>
        <v>20.5</v>
      </c>
      <c r="D3" s="1">
        <v>3.8000000000000002E-5</v>
      </c>
    </row>
    <row r="4" spans="1:4" x14ac:dyDescent="0.3">
      <c r="A4" s="3">
        <v>6300</v>
      </c>
      <c r="B4">
        <v>193</v>
      </c>
      <c r="C4">
        <f t="shared" si="0"/>
        <v>19.3</v>
      </c>
      <c r="D4" s="1">
        <v>4.4799999999999998E-5</v>
      </c>
    </row>
    <row r="5" spans="1:4" x14ac:dyDescent="0.3">
      <c r="A5">
        <v>6200</v>
      </c>
      <c r="B5">
        <v>172</v>
      </c>
      <c r="C5">
        <f t="shared" si="0"/>
        <v>17.2</v>
      </c>
      <c r="D5" s="1">
        <v>5.1199999999999998E-5</v>
      </c>
    </row>
    <row r="6" spans="1:4" x14ac:dyDescent="0.3">
      <c r="A6" s="3">
        <v>6100</v>
      </c>
      <c r="B6">
        <v>147</v>
      </c>
      <c r="C6">
        <f t="shared" si="0"/>
        <v>14.7</v>
      </c>
      <c r="D6" s="1">
        <v>5.7000000000000003E-5</v>
      </c>
    </row>
    <row r="7" spans="1:4" x14ac:dyDescent="0.3">
      <c r="A7">
        <v>6000</v>
      </c>
      <c r="B7">
        <v>129</v>
      </c>
      <c r="C7">
        <f t="shared" si="0"/>
        <v>12.9</v>
      </c>
      <c r="D7" s="1">
        <v>6.2000000000000003E-5</v>
      </c>
    </row>
    <row r="8" spans="1:4" x14ac:dyDescent="0.3">
      <c r="A8" s="3">
        <v>5900</v>
      </c>
      <c r="B8">
        <v>107</v>
      </c>
      <c r="C8">
        <f t="shared" si="0"/>
        <v>10.7</v>
      </c>
      <c r="D8" s="1">
        <v>6.5199999999999999E-5</v>
      </c>
    </row>
    <row r="9" spans="1:4" x14ac:dyDescent="0.3">
      <c r="A9">
        <v>5800</v>
      </c>
      <c r="B9">
        <v>93</v>
      </c>
      <c r="C9">
        <f t="shared" si="0"/>
        <v>9.3000000000000007</v>
      </c>
      <c r="D9" s="1">
        <v>6.8800000000000005E-5</v>
      </c>
    </row>
    <row r="10" spans="1:4" x14ac:dyDescent="0.3">
      <c r="A10" s="3">
        <v>5700</v>
      </c>
      <c r="B10">
        <v>81</v>
      </c>
      <c r="C10">
        <f t="shared" si="0"/>
        <v>8.1</v>
      </c>
      <c r="D10" s="1">
        <v>7.2000000000000002E-5</v>
      </c>
    </row>
    <row r="11" spans="1:4" x14ac:dyDescent="0.3">
      <c r="A11">
        <v>5600</v>
      </c>
      <c r="B11">
        <v>71</v>
      </c>
      <c r="C11">
        <f t="shared" si="0"/>
        <v>7.1</v>
      </c>
      <c r="D11" s="1">
        <v>7.3999999999999996E-5</v>
      </c>
    </row>
    <row r="12" spans="1:4" x14ac:dyDescent="0.3">
      <c r="A12">
        <v>6600</v>
      </c>
      <c r="B12">
        <v>190</v>
      </c>
      <c r="C12">
        <f t="shared" si="0"/>
        <v>19</v>
      </c>
      <c r="D12" s="1">
        <v>2.5000000000000001E-5</v>
      </c>
    </row>
    <row r="13" spans="1:4" x14ac:dyDescent="0.3">
      <c r="A13" s="3">
        <v>6700</v>
      </c>
      <c r="B13">
        <v>176</v>
      </c>
      <c r="C13">
        <f t="shared" si="0"/>
        <v>17.600000000000001</v>
      </c>
      <c r="D13" s="1">
        <v>2.0400000000000001E-5</v>
      </c>
    </row>
    <row r="14" spans="1:4" x14ac:dyDescent="0.3">
      <c r="A14">
        <v>6800</v>
      </c>
      <c r="B14">
        <v>158</v>
      </c>
      <c r="C14">
        <f t="shared" si="0"/>
        <v>15.8</v>
      </c>
      <c r="D14" s="1">
        <v>1.4800000000000001E-5</v>
      </c>
    </row>
    <row r="15" spans="1:4" x14ac:dyDescent="0.3">
      <c r="A15" s="3">
        <v>6900</v>
      </c>
      <c r="B15">
        <v>142</v>
      </c>
      <c r="C15">
        <f t="shared" si="0"/>
        <v>14.2</v>
      </c>
      <c r="D15" s="1">
        <v>1.2799999999999999E-5</v>
      </c>
    </row>
    <row r="16" spans="1:4" x14ac:dyDescent="0.3">
      <c r="A16">
        <v>7000</v>
      </c>
      <c r="B16">
        <v>129</v>
      </c>
      <c r="C16">
        <f t="shared" si="0"/>
        <v>12.9</v>
      </c>
      <c r="D16" s="1">
        <v>1.1600000000000001E-5</v>
      </c>
    </row>
    <row r="17" spans="1:4" x14ac:dyDescent="0.3">
      <c r="A17" s="3">
        <v>7100</v>
      </c>
      <c r="B17">
        <v>113</v>
      </c>
      <c r="C17">
        <f t="shared" si="0"/>
        <v>11.3</v>
      </c>
      <c r="D17" s="1">
        <v>9.2E-6</v>
      </c>
    </row>
    <row r="18" spans="1:4" x14ac:dyDescent="0.3">
      <c r="A18">
        <v>7200</v>
      </c>
      <c r="B18">
        <v>104</v>
      </c>
      <c r="C18">
        <f t="shared" si="0"/>
        <v>10.4</v>
      </c>
      <c r="D18" s="1">
        <v>7.9999999999999996E-6</v>
      </c>
    </row>
    <row r="19" spans="1:4" x14ac:dyDescent="0.3">
      <c r="A19" s="3">
        <v>7300</v>
      </c>
      <c r="B19">
        <v>95</v>
      </c>
      <c r="C19">
        <f t="shared" si="0"/>
        <v>9.5</v>
      </c>
      <c r="D19" s="1">
        <v>6.6000000000000003E-6</v>
      </c>
    </row>
    <row r="20" spans="1:4" x14ac:dyDescent="0.3">
      <c r="A20">
        <v>7400</v>
      </c>
      <c r="B20">
        <v>88</v>
      </c>
      <c r="C20">
        <f t="shared" si="0"/>
        <v>8.8000000000000007</v>
      </c>
      <c r="D20" s="1">
        <v>5.8000000000000004E-6</v>
      </c>
    </row>
    <row r="21" spans="1:4" x14ac:dyDescent="0.3">
      <c r="A21" s="3">
        <v>7500</v>
      </c>
      <c r="B21">
        <v>82</v>
      </c>
      <c r="C21">
        <f t="shared" si="0"/>
        <v>8.1999999999999993</v>
      </c>
      <c r="D21" s="1">
        <v>5.0000000000000004E-6</v>
      </c>
    </row>
    <row r="22" spans="1:4" x14ac:dyDescent="0.3">
      <c r="A22">
        <v>7600</v>
      </c>
      <c r="B22">
        <v>78</v>
      </c>
      <c r="C22">
        <f t="shared" si="0"/>
        <v>7.8</v>
      </c>
      <c r="D22" s="1">
        <v>4.7999999999999998E-6</v>
      </c>
    </row>
    <row r="23" spans="1:4" x14ac:dyDescent="0.3">
      <c r="A23" s="3">
        <v>7700</v>
      </c>
      <c r="B23">
        <v>73.599999999999994</v>
      </c>
      <c r="C23">
        <f t="shared" si="0"/>
        <v>7.3599999999999994</v>
      </c>
      <c r="D23" s="1">
        <v>3.9999999999999998E-6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025D-8743-49E4-BAAF-7EC242C24423}">
  <dimension ref="A1:F10"/>
  <sheetViews>
    <sheetView tabSelected="1" workbookViewId="0">
      <selection sqref="A1:F10"/>
    </sheetView>
  </sheetViews>
  <sheetFormatPr defaultRowHeight="14.4" x14ac:dyDescent="0.3"/>
  <sheetData>
    <row r="1" spans="1:6" x14ac:dyDescent="0.3">
      <c r="A1" t="s">
        <v>14</v>
      </c>
      <c r="B1" t="s">
        <v>20</v>
      </c>
      <c r="C1" t="s">
        <v>15</v>
      </c>
      <c r="D1" t="s">
        <v>2</v>
      </c>
      <c r="E1" t="s">
        <v>27</v>
      </c>
      <c r="F1" t="s">
        <v>24</v>
      </c>
    </row>
    <row r="2" spans="1:6" x14ac:dyDescent="0.3">
      <c r="A2">
        <v>1</v>
      </c>
      <c r="B2">
        <v>102</v>
      </c>
      <c r="C2">
        <v>33</v>
      </c>
      <c r="D2">
        <v>408.25</v>
      </c>
    </row>
    <row r="3" spans="1:6" x14ac:dyDescent="0.3">
      <c r="A3">
        <v>2</v>
      </c>
      <c r="B3">
        <v>102</v>
      </c>
      <c r="C3">
        <v>55</v>
      </c>
      <c r="D3">
        <v>408.25</v>
      </c>
      <c r="E3">
        <f>LN((B$2-C$2)/(B3-C3))/(A3-A$2)</f>
        <v>0.3839589028872008</v>
      </c>
      <c r="F3">
        <f>PI()/E3</f>
        <v>8.1821065482956854</v>
      </c>
    </row>
    <row r="4" spans="1:6" x14ac:dyDescent="0.3">
      <c r="A4">
        <v>3</v>
      </c>
      <c r="B4">
        <v>102</v>
      </c>
      <c r="C4">
        <v>72</v>
      </c>
      <c r="D4">
        <v>408.25</v>
      </c>
      <c r="E4">
        <f>LN((B$2-C$2)/(B4-C4))/(A4-A$2)</f>
        <v>0.41645456146755194</v>
      </c>
      <c r="F4">
        <f t="shared" ref="F4:F10" si="0">PI()/E4</f>
        <v>7.5436624886976302</v>
      </c>
    </row>
    <row r="5" spans="1:6" x14ac:dyDescent="0.3">
      <c r="A5">
        <v>4</v>
      </c>
      <c r="B5">
        <v>102</v>
      </c>
      <c r="C5">
        <v>82</v>
      </c>
      <c r="D5">
        <v>408.25</v>
      </c>
      <c r="E5">
        <f t="shared" ref="E5:E7" si="1">LN((B$2-C$2)/(B5-C5))/(A5-A$2)</f>
        <v>0.41279141034775613</v>
      </c>
      <c r="F5">
        <f t="shared" si="0"/>
        <v>7.6106056832509141</v>
      </c>
    </row>
    <row r="6" spans="1:6" x14ac:dyDescent="0.3">
      <c r="A6">
        <v>5</v>
      </c>
      <c r="B6">
        <v>102</v>
      </c>
      <c r="C6">
        <v>88</v>
      </c>
      <c r="D6">
        <v>408.25</v>
      </c>
      <c r="E6">
        <f t="shared" si="1"/>
        <v>0.39876229374550021</v>
      </c>
      <c r="F6">
        <f t="shared" si="0"/>
        <v>7.8783593706450938</v>
      </c>
    </row>
    <row r="7" spans="1:6" x14ac:dyDescent="0.3">
      <c r="A7">
        <v>6</v>
      </c>
      <c r="B7">
        <v>102</v>
      </c>
      <c r="C7">
        <v>94</v>
      </c>
      <c r="D7">
        <v>408.25</v>
      </c>
      <c r="E7">
        <f t="shared" si="1"/>
        <v>0.43093299258348472</v>
      </c>
      <c r="F7">
        <f t="shared" si="0"/>
        <v>7.290211489159006</v>
      </c>
    </row>
    <row r="8" spans="1:6" x14ac:dyDescent="0.3">
      <c r="A8">
        <v>1</v>
      </c>
      <c r="B8">
        <v>26.2</v>
      </c>
      <c r="C8">
        <v>8.4</v>
      </c>
      <c r="D8">
        <v>2000</v>
      </c>
    </row>
    <row r="9" spans="1:6" x14ac:dyDescent="0.3">
      <c r="A9">
        <v>2</v>
      </c>
      <c r="B9">
        <v>26.2</v>
      </c>
      <c r="C9">
        <v>21.8</v>
      </c>
      <c r="D9">
        <v>2000</v>
      </c>
      <c r="E9">
        <f>LN((B$8-C$8)/(B9-C9))/(A9-A$8)</f>
        <v>1.397593916373824</v>
      </c>
      <c r="F9">
        <f t="shared" si="0"/>
        <v>2.2478579913548291</v>
      </c>
    </row>
    <row r="10" spans="1:6" x14ac:dyDescent="0.3">
      <c r="A10">
        <v>3</v>
      </c>
      <c r="B10">
        <v>26.2</v>
      </c>
      <c r="C10">
        <v>25.4</v>
      </c>
      <c r="D10">
        <v>2000</v>
      </c>
      <c r="E10">
        <f>LN((B$8-C$8)/(B10-C10))/(A10-A$8)</f>
        <v>1.551171004306124</v>
      </c>
      <c r="F10">
        <f t="shared" si="0"/>
        <v>2.0253038800161836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37AF-8E6D-4860-8937-E0B4B59BF130}">
  <dimension ref="A1:C5"/>
  <sheetViews>
    <sheetView workbookViewId="0">
      <selection activeCell="A8" sqref="A8"/>
    </sheetView>
  </sheetViews>
  <sheetFormatPr defaultRowHeight="14.4" x14ac:dyDescent="0.3"/>
  <sheetData>
    <row r="1" spans="1:3" x14ac:dyDescent="0.3">
      <c r="A1" t="s">
        <v>19</v>
      </c>
      <c r="B1" t="s">
        <v>21</v>
      </c>
      <c r="C1" t="s">
        <v>2</v>
      </c>
    </row>
    <row r="2" spans="1:3" x14ac:dyDescent="0.3">
      <c r="A2">
        <v>50</v>
      </c>
      <c r="B2" s="1">
        <v>9.9979999999999999E-2</v>
      </c>
      <c r="C2">
        <v>21.5</v>
      </c>
    </row>
    <row r="3" spans="1:3" x14ac:dyDescent="0.3">
      <c r="A3">
        <v>1000</v>
      </c>
      <c r="B3" s="1">
        <v>9.9959999999999993E-2</v>
      </c>
      <c r="C3">
        <v>22.2</v>
      </c>
    </row>
    <row r="4" spans="1:3" x14ac:dyDescent="0.3">
      <c r="A4">
        <v>5000</v>
      </c>
      <c r="B4" s="1">
        <v>0.1007</v>
      </c>
      <c r="C4">
        <v>32.5</v>
      </c>
    </row>
    <row r="5" spans="1:3" x14ac:dyDescent="0.3">
      <c r="A5">
        <v>20000</v>
      </c>
      <c r="B5" s="1">
        <v>0.11360000000000001</v>
      </c>
      <c r="C5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С0</vt:lpstr>
      <vt:lpstr>Tism</vt:lpstr>
      <vt:lpstr>thet</vt:lpstr>
      <vt:lpstr>2.4</vt:lpstr>
      <vt:lpstr>Ah FH</vt:lpstr>
      <vt:lpstr>2.6</vt:lpstr>
      <vt:lpstr>Лист7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2025-09-13T06:13:49Z</dcterms:created>
  <dcterms:modified xsi:type="dcterms:W3CDTF">2025-09-19T17:12:22Z</dcterms:modified>
</cp:coreProperties>
</file>