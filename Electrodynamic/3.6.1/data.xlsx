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MIPT_Labs\Electrodynamic\3.6.1\"/>
    </mc:Choice>
  </mc:AlternateContent>
  <xr:revisionPtr revIDLastSave="0" documentId="13_ncr:1_{4AF611BB-A521-4760-B9CA-B636BC1E5ECF}" xr6:coauthVersionLast="47" xr6:coauthVersionMax="47" xr10:uidLastSave="{00000000-0000-0000-0000-000000000000}"/>
  <bookViews>
    <workbookView xWindow="-108" yWindow="-108" windowWidth="23256" windowHeight="12576" activeTab="6" xr2:uid="{FE92C9A6-6584-4D3B-A18C-537914CBDF19}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7" sheetId="7" r:id="rId7"/>
    <sheet name="Лист8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10" i="6"/>
  <c r="F11" i="6"/>
  <c r="F2" i="6"/>
  <c r="E3" i="6"/>
  <c r="E4" i="6"/>
  <c r="E5" i="6"/>
  <c r="E6" i="6"/>
  <c r="E7" i="6"/>
  <c r="E8" i="6"/>
  <c r="E9" i="6"/>
  <c r="E10" i="6"/>
  <c r="E11" i="6"/>
  <c r="E2" i="6"/>
  <c r="D3" i="6"/>
  <c r="D4" i="6"/>
  <c r="D5" i="6"/>
  <c r="D6" i="6"/>
  <c r="D7" i="6"/>
  <c r="D8" i="6"/>
  <c r="D9" i="6"/>
  <c r="D10" i="6"/>
  <c r="D11" i="6"/>
  <c r="D2" i="6"/>
  <c r="G3" i="3"/>
  <c r="G4" i="3"/>
  <c r="G5" i="3"/>
  <c r="G6" i="3"/>
  <c r="G7" i="3"/>
  <c r="G2" i="3"/>
  <c r="F3" i="2"/>
  <c r="F4" i="2"/>
  <c r="F5" i="2"/>
  <c r="F6" i="2"/>
  <c r="F7" i="2"/>
  <c r="F8" i="2"/>
  <c r="F9" i="2"/>
  <c r="F2" i="2"/>
  <c r="G3" i="2"/>
  <c r="G4" i="2"/>
  <c r="G5" i="2"/>
  <c r="G6" i="2"/>
  <c r="G7" i="2"/>
  <c r="G8" i="2"/>
  <c r="G9" i="2"/>
  <c r="G2" i="2"/>
  <c r="D3" i="2"/>
  <c r="D4" i="2"/>
  <c r="D5" i="2"/>
  <c r="D6" i="2"/>
  <c r="D7" i="2"/>
  <c r="D8" i="2"/>
  <c r="D9" i="2"/>
  <c r="D2" i="2"/>
  <c r="H2" i="2"/>
  <c r="E4" i="2"/>
  <c r="E5" i="2"/>
  <c r="E6" i="2"/>
  <c r="E7" i="2"/>
  <c r="E8" i="2"/>
  <c r="E9" i="2"/>
  <c r="E3" i="2"/>
  <c r="D2" i="7"/>
  <c r="C2" i="7"/>
  <c r="D2" i="5"/>
  <c r="F3" i="3"/>
  <c r="F4" i="3"/>
  <c r="F5" i="3"/>
  <c r="F6" i="3"/>
  <c r="F7" i="3"/>
  <c r="C3" i="3"/>
  <c r="C4" i="3"/>
  <c r="C5" i="3"/>
  <c r="C6" i="3"/>
  <c r="C7" i="3"/>
  <c r="F2" i="3"/>
  <c r="C2" i="3"/>
  <c r="D2" i="1"/>
  <c r="C2" i="1"/>
  <c r="B2" i="1"/>
</calcChain>
</file>

<file path=xl/sharedStrings.xml><?xml version="1.0" encoding="utf-8"?>
<sst xmlns="http://schemas.openxmlformats.org/spreadsheetml/2006/main" count="34" uniqueCount="29">
  <si>
    <t>T</t>
  </si>
  <si>
    <t>tau</t>
  </si>
  <si>
    <t>n</t>
  </si>
  <si>
    <t>nu_n</t>
  </si>
  <si>
    <t>A_n</t>
  </si>
  <si>
    <t>kHz</t>
  </si>
  <si>
    <t>mV</t>
  </si>
  <si>
    <t>delt_nu</t>
  </si>
  <si>
    <t>d_nu_0</t>
  </si>
  <si>
    <t>Tm</t>
  </si>
  <si>
    <t>nu1</t>
  </si>
  <si>
    <t>nu2</t>
  </si>
  <si>
    <t>dnu</t>
  </si>
  <si>
    <t>mks</t>
  </si>
  <si>
    <t>Amax</t>
  </si>
  <si>
    <t>Amin</t>
  </si>
  <si>
    <t>m</t>
  </si>
  <si>
    <t>a_main</t>
  </si>
  <si>
    <t>a_b</t>
  </si>
  <si>
    <t>R</t>
  </si>
  <si>
    <t>C</t>
  </si>
  <si>
    <t>a_0</t>
  </si>
  <si>
    <t>a_f</t>
  </si>
  <si>
    <t>nu_t</t>
  </si>
  <si>
    <t>A_t</t>
  </si>
  <si>
    <t>A0</t>
  </si>
  <si>
    <t>DA</t>
  </si>
  <si>
    <t>Dnu</t>
  </si>
  <si>
    <t>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</si>
</sst>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BFAF0-79EA-4A26-A02E-B58D470A6C01}">
  <dimension ref="A1:E2"/>
  <sheetViews>
    <sheetView workbookViewId="0">
      <selection activeCell="E3" sqref="E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8</v>
      </c>
      <c r="E1" t="s">
        <v>7</v>
      </c>
    </row>
    <row r="2" spans="1:5" x14ac:dyDescent="0.3">
      <c r="A2" s="1">
        <v>1E-3</v>
      </c>
      <c r="B2" s="1">
        <f>A2/20</f>
        <v>5.0000000000000002E-5</v>
      </c>
      <c r="C2" s="1">
        <f>1/B2</f>
        <v>20000</v>
      </c>
      <c r="D2" s="1">
        <f>C2*50</f>
        <v>1000000</v>
      </c>
      <c r="E2">
        <v>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9FCB-34B2-4D79-9ABD-79D5BFAF52B9}">
  <dimension ref="A1:K9"/>
  <sheetViews>
    <sheetView workbookViewId="0">
      <selection activeCell="C20" sqref="C20"/>
    </sheetView>
  </sheetViews>
  <sheetFormatPr defaultRowHeight="14.4" x14ac:dyDescent="0.3"/>
  <sheetData>
    <row r="1" spans="1:11" x14ac:dyDescent="0.3">
      <c r="A1" t="s">
        <v>2</v>
      </c>
      <c r="B1" t="s">
        <v>4</v>
      </c>
      <c r="C1" t="s">
        <v>3</v>
      </c>
      <c r="D1" t="s">
        <v>24</v>
      </c>
      <c r="E1" t="s">
        <v>23</v>
      </c>
      <c r="F1" t="s">
        <v>26</v>
      </c>
      <c r="G1" t="s">
        <v>27</v>
      </c>
      <c r="H1" t="s">
        <v>25</v>
      </c>
    </row>
    <row r="2" spans="1:11" x14ac:dyDescent="0.3">
      <c r="A2">
        <v>1</v>
      </c>
      <c r="B2">
        <v>418</v>
      </c>
      <c r="C2">
        <v>1001</v>
      </c>
      <c r="D2" s="2">
        <f>H$2*ABS(SIN(PI()*0.00005*E2))/E2</f>
        <v>418.0034453223372</v>
      </c>
      <c r="E2">
        <v>1000</v>
      </c>
      <c r="F2" s="2">
        <f>(B2-D2)/B2</f>
        <v>-8.2423979358845479E-6</v>
      </c>
      <c r="G2">
        <f>C2-E2</f>
        <v>1</v>
      </c>
      <c r="H2">
        <f>B2*C2/ABS(SIN(PI()*0.00005*C2))</f>
        <v>2672067.470648732</v>
      </c>
      <c r="J2" t="s">
        <v>6</v>
      </c>
      <c r="K2" t="s">
        <v>5</v>
      </c>
    </row>
    <row r="3" spans="1:11" x14ac:dyDescent="0.3">
      <c r="A3">
        <v>2</v>
      </c>
      <c r="B3">
        <v>412</v>
      </c>
      <c r="C3">
        <v>1988</v>
      </c>
      <c r="D3" s="2">
        <f>H$2*ABS(SIN(PI()*0.00005*E3))/E3</f>
        <v>412.85712927346958</v>
      </c>
      <c r="E3">
        <f>A3*E$2</f>
        <v>2000</v>
      </c>
      <c r="F3" s="2">
        <f t="shared" ref="F3:F9" si="0">B3-D3</f>
        <v>-0.85712927346958168</v>
      </c>
      <c r="G3">
        <f t="shared" ref="G3:G9" si="1">C3-E3</f>
        <v>-12</v>
      </c>
    </row>
    <row r="4" spans="1:11" x14ac:dyDescent="0.3">
      <c r="A4">
        <v>3</v>
      </c>
      <c r="B4">
        <v>406</v>
      </c>
      <c r="C4">
        <v>3033</v>
      </c>
      <c r="D4" s="2">
        <f>H$2*ABS(SIN(PI()*0.00005*E4))/E4</f>
        <v>404.36441544586813</v>
      </c>
      <c r="E4">
        <f t="shared" ref="E4:E9" si="2">A4*E$2</f>
        <v>3000</v>
      </c>
      <c r="F4" s="2">
        <f t="shared" si="0"/>
        <v>1.6355845541318672</v>
      </c>
      <c r="G4">
        <f t="shared" si="1"/>
        <v>33</v>
      </c>
    </row>
    <row r="5" spans="1:11" x14ac:dyDescent="0.3">
      <c r="A5">
        <v>4</v>
      </c>
      <c r="B5">
        <v>392</v>
      </c>
      <c r="C5">
        <v>4008</v>
      </c>
      <c r="D5" s="2">
        <f>H$2*ABS(SIN(PI()*0.00005*E5))/E5</f>
        <v>392.65046309444392</v>
      </c>
      <c r="E5">
        <f t="shared" si="2"/>
        <v>4000</v>
      </c>
      <c r="F5" s="2">
        <f t="shared" si="0"/>
        <v>-0.65046309444392136</v>
      </c>
      <c r="G5">
        <f t="shared" si="1"/>
        <v>8</v>
      </c>
    </row>
    <row r="6" spans="1:11" x14ac:dyDescent="0.3">
      <c r="A6">
        <v>5</v>
      </c>
      <c r="B6">
        <v>377</v>
      </c>
      <c r="C6">
        <v>5007</v>
      </c>
      <c r="D6" s="2">
        <f>H$2*ABS(SIN(PI()*0.00005*E6))/E6</f>
        <v>377.88740565674084</v>
      </c>
      <c r="E6">
        <f t="shared" si="2"/>
        <v>5000</v>
      </c>
      <c r="F6" s="2">
        <f t="shared" si="0"/>
        <v>-0.88740565674083882</v>
      </c>
      <c r="G6">
        <f t="shared" si="1"/>
        <v>7</v>
      </c>
    </row>
    <row r="7" spans="1:11" x14ac:dyDescent="0.3">
      <c r="A7">
        <v>6</v>
      </c>
      <c r="B7">
        <v>360</v>
      </c>
      <c r="C7">
        <v>6005</v>
      </c>
      <c r="D7" s="2">
        <f>H$2*ABS(SIN(PI()*0.00005*E7))/E7</f>
        <v>360.29133231188416</v>
      </c>
      <c r="E7">
        <f t="shared" si="2"/>
        <v>6000</v>
      </c>
      <c r="F7" s="2">
        <f t="shared" si="0"/>
        <v>-0.29133231188416175</v>
      </c>
      <c r="G7">
        <f t="shared" si="1"/>
        <v>5</v>
      </c>
    </row>
    <row r="8" spans="1:11" x14ac:dyDescent="0.3">
      <c r="A8">
        <v>7</v>
      </c>
      <c r="B8">
        <v>340</v>
      </c>
      <c r="C8">
        <v>6992</v>
      </c>
      <c r="D8" s="2">
        <f>H$2*ABS(SIN(PI()*0.00005*E8))/E8</f>
        <v>340.11850705993288</v>
      </c>
      <c r="E8">
        <f t="shared" si="2"/>
        <v>7000</v>
      </c>
      <c r="F8" s="2">
        <f t="shared" si="0"/>
        <v>-0.11850705993288102</v>
      </c>
      <c r="G8">
        <f t="shared" si="1"/>
        <v>-8</v>
      </c>
    </row>
    <row r="9" spans="1:11" x14ac:dyDescent="0.3">
      <c r="A9">
        <v>8</v>
      </c>
      <c r="B9">
        <v>316</v>
      </c>
      <c r="C9">
        <v>8002</v>
      </c>
      <c r="D9" s="2">
        <f>H$2*ABS(SIN(PI()*0.00005*E9))/E9</f>
        <v>317.66089749259817</v>
      </c>
      <c r="E9">
        <f t="shared" si="2"/>
        <v>8000</v>
      </c>
      <c r="F9" s="2">
        <f t="shared" si="0"/>
        <v>-1.660897492598167</v>
      </c>
      <c r="G9">
        <f t="shared" si="1"/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DD3F-4843-4FBC-828E-FD8179553F22}">
  <dimension ref="A1:I7"/>
  <sheetViews>
    <sheetView workbookViewId="0">
      <selection activeCell="C1" sqref="C1"/>
    </sheetView>
  </sheetViews>
  <sheetFormatPr defaultRowHeight="14.4" x14ac:dyDescent="0.3"/>
  <sheetData>
    <row r="1" spans="1:9" x14ac:dyDescent="0.3">
      <c r="A1" t="s">
        <v>1</v>
      </c>
      <c r="C1" t="s">
        <v>9</v>
      </c>
      <c r="D1" t="s">
        <v>10</v>
      </c>
      <c r="E1" t="s">
        <v>11</v>
      </c>
      <c r="F1" t="s">
        <v>12</v>
      </c>
      <c r="G1" t="s">
        <v>28</v>
      </c>
      <c r="H1" t="s">
        <v>5</v>
      </c>
      <c r="I1" t="s">
        <v>13</v>
      </c>
    </row>
    <row r="2" spans="1:9" x14ac:dyDescent="0.3">
      <c r="A2">
        <v>100</v>
      </c>
      <c r="B2">
        <v>2</v>
      </c>
      <c r="C2">
        <f>B2*A2</f>
        <v>200</v>
      </c>
      <c r="D2">
        <v>5</v>
      </c>
      <c r="E2">
        <v>10</v>
      </c>
      <c r="F2">
        <f>E2-D2</f>
        <v>5</v>
      </c>
      <c r="G2">
        <f>1/F2</f>
        <v>0.2</v>
      </c>
    </row>
    <row r="3" spans="1:9" x14ac:dyDescent="0.3">
      <c r="A3">
        <v>100</v>
      </c>
      <c r="B3">
        <v>12</v>
      </c>
      <c r="C3">
        <f t="shared" ref="C3:C7" si="0">B3*A3</f>
        <v>1200</v>
      </c>
      <c r="D3">
        <v>0.82199999999999995</v>
      </c>
      <c r="E3">
        <v>1.649</v>
      </c>
      <c r="F3">
        <f t="shared" ref="F3:F7" si="1">E3-D3</f>
        <v>0.82700000000000007</v>
      </c>
      <c r="G3">
        <f t="shared" ref="G3:G7" si="2">1/F3</f>
        <v>1.2091898428053203</v>
      </c>
    </row>
    <row r="4" spans="1:9" x14ac:dyDescent="0.3">
      <c r="A4">
        <v>100</v>
      </c>
      <c r="B4">
        <v>20</v>
      </c>
      <c r="C4">
        <f t="shared" si="0"/>
        <v>2000</v>
      </c>
      <c r="D4">
        <v>0.49299999999999999</v>
      </c>
      <c r="E4">
        <v>1.0089999999999999</v>
      </c>
      <c r="F4">
        <f t="shared" si="1"/>
        <v>0.5159999999999999</v>
      </c>
      <c r="G4">
        <f t="shared" si="2"/>
        <v>1.9379844961240313</v>
      </c>
    </row>
    <row r="5" spans="1:9" x14ac:dyDescent="0.3">
      <c r="A5">
        <v>100</v>
      </c>
      <c r="B5">
        <v>30</v>
      </c>
      <c r="C5">
        <f t="shared" si="0"/>
        <v>3000</v>
      </c>
      <c r="D5">
        <v>0.33200000000000002</v>
      </c>
      <c r="E5">
        <v>0.66500000000000004</v>
      </c>
      <c r="F5">
        <f t="shared" si="1"/>
        <v>0.33300000000000002</v>
      </c>
      <c r="G5">
        <f t="shared" si="2"/>
        <v>3.0030030030030028</v>
      </c>
    </row>
    <row r="6" spans="1:9" x14ac:dyDescent="0.3">
      <c r="A6">
        <v>100</v>
      </c>
      <c r="B6">
        <v>40</v>
      </c>
      <c r="C6">
        <f t="shared" si="0"/>
        <v>4000</v>
      </c>
      <c r="D6">
        <v>0.24</v>
      </c>
      <c r="E6">
        <v>0.504</v>
      </c>
      <c r="F6">
        <f t="shared" si="1"/>
        <v>0.26400000000000001</v>
      </c>
      <c r="G6">
        <f t="shared" si="2"/>
        <v>3.7878787878787876</v>
      </c>
    </row>
    <row r="7" spans="1:9" x14ac:dyDescent="0.3">
      <c r="A7">
        <v>100</v>
      </c>
      <c r="B7">
        <v>50</v>
      </c>
      <c r="C7">
        <f t="shared" si="0"/>
        <v>5000</v>
      </c>
      <c r="D7">
        <v>0.20599999999999999</v>
      </c>
      <c r="E7">
        <v>0.41199999999999998</v>
      </c>
      <c r="F7">
        <f t="shared" si="1"/>
        <v>0.20599999999999999</v>
      </c>
      <c r="G7">
        <f t="shared" si="2"/>
        <v>4.8543689320388355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48D86-D3E2-46C4-99B5-8A7D2CEC7539}">
  <dimension ref="A1:B5"/>
  <sheetViews>
    <sheetView workbookViewId="0">
      <selection activeCell="C2" sqref="C2"/>
    </sheetView>
  </sheetViews>
  <sheetFormatPr defaultRowHeight="14.4" x14ac:dyDescent="0.3"/>
  <sheetData>
    <row r="1" spans="1:2" x14ac:dyDescent="0.3">
      <c r="A1" t="s">
        <v>1</v>
      </c>
      <c r="B1" t="s">
        <v>12</v>
      </c>
    </row>
    <row r="2" spans="1:2" x14ac:dyDescent="0.3">
      <c r="A2">
        <v>50</v>
      </c>
      <c r="B2">
        <v>20</v>
      </c>
    </row>
    <row r="3" spans="1:2" x14ac:dyDescent="0.3">
      <c r="A3">
        <v>40</v>
      </c>
      <c r="B3">
        <v>25</v>
      </c>
    </row>
    <row r="4" spans="1:2" x14ac:dyDescent="0.3">
      <c r="A4">
        <v>20</v>
      </c>
      <c r="B4">
        <v>50</v>
      </c>
    </row>
    <row r="5" spans="1:2" x14ac:dyDescent="0.3">
      <c r="A5">
        <v>100</v>
      </c>
      <c r="B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73D2D-A722-48BF-8674-FD82A36A4270}">
  <dimension ref="A1:D2"/>
  <sheetViews>
    <sheetView workbookViewId="0">
      <selection activeCell="C7" sqref="C7"/>
    </sheetView>
  </sheetViews>
  <sheetFormatPr defaultRowHeight="14.4" x14ac:dyDescent="0.3"/>
  <sheetData>
    <row r="1" spans="1:4" x14ac:dyDescent="0.3">
      <c r="A1" t="s">
        <v>14</v>
      </c>
      <c r="B1" t="s">
        <v>15</v>
      </c>
    </row>
    <row r="2" spans="1:4" x14ac:dyDescent="0.3">
      <c r="A2">
        <v>2</v>
      </c>
      <c r="B2">
        <v>0.6</v>
      </c>
      <c r="D2">
        <f>(A2-B2)/(A2+B2)</f>
        <v>0.53846153846153844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F62C-7F77-48A7-9C20-F0CC0C2A318D}">
  <dimension ref="A1:F11"/>
  <sheetViews>
    <sheetView workbookViewId="0">
      <selection activeCell="F11" sqref="A1:F11"/>
    </sheetView>
  </sheetViews>
  <sheetFormatPr defaultRowHeight="14.4" x14ac:dyDescent="0.3"/>
  <sheetData>
    <row r="1" spans="1:6" x14ac:dyDescent="0.3">
      <c r="A1" t="s">
        <v>16</v>
      </c>
      <c r="B1" t="s">
        <v>17</v>
      </c>
      <c r="C1" t="s">
        <v>18</v>
      </c>
    </row>
    <row r="2" spans="1:6" x14ac:dyDescent="0.3">
      <c r="A2">
        <v>10</v>
      </c>
      <c r="B2">
        <v>893</v>
      </c>
      <c r="C2">
        <v>44</v>
      </c>
      <c r="D2">
        <f>C2/B2</f>
        <v>4.9272116461366179E-2</v>
      </c>
      <c r="E2">
        <f>A2/200</f>
        <v>0.05</v>
      </c>
      <c r="F2">
        <f>E2-D2</f>
        <v>7.2788353863382366E-4</v>
      </c>
    </row>
    <row r="3" spans="1:6" x14ac:dyDescent="0.3">
      <c r="A3">
        <v>20</v>
      </c>
      <c r="B3">
        <v>878</v>
      </c>
      <c r="C3">
        <v>88</v>
      </c>
      <c r="D3">
        <f t="shared" ref="D3:D11" si="0">C3/B3</f>
        <v>0.10022779043280182</v>
      </c>
      <c r="E3">
        <f t="shared" ref="E3:E11" si="1">A3/200</f>
        <v>0.1</v>
      </c>
      <c r="F3">
        <f t="shared" ref="F3:F11" si="2">E3-D3</f>
        <v>-2.2779043280181377E-4</v>
      </c>
    </row>
    <row r="4" spans="1:6" x14ac:dyDescent="0.3">
      <c r="A4">
        <v>30</v>
      </c>
      <c r="B4">
        <v>880</v>
      </c>
      <c r="C4">
        <v>132</v>
      </c>
      <c r="D4">
        <f t="shared" si="0"/>
        <v>0.15</v>
      </c>
      <c r="E4">
        <f t="shared" si="1"/>
        <v>0.15</v>
      </c>
      <c r="F4">
        <f t="shared" si="2"/>
        <v>0</v>
      </c>
    </row>
    <row r="5" spans="1:6" x14ac:dyDescent="0.3">
      <c r="A5">
        <v>40</v>
      </c>
      <c r="B5">
        <v>880</v>
      </c>
      <c r="C5">
        <v>171</v>
      </c>
      <c r="D5">
        <f t="shared" si="0"/>
        <v>0.19431818181818181</v>
      </c>
      <c r="E5">
        <f t="shared" si="1"/>
        <v>0.2</v>
      </c>
      <c r="F5">
        <f t="shared" si="2"/>
        <v>5.6818181818182045E-3</v>
      </c>
    </row>
    <row r="6" spans="1:6" x14ac:dyDescent="0.3">
      <c r="A6">
        <v>50</v>
      </c>
      <c r="B6">
        <v>880</v>
      </c>
      <c r="C6">
        <v>220</v>
      </c>
      <c r="D6">
        <f t="shared" si="0"/>
        <v>0.25</v>
      </c>
      <c r="E6">
        <f t="shared" si="1"/>
        <v>0.25</v>
      </c>
      <c r="F6">
        <f t="shared" si="2"/>
        <v>0</v>
      </c>
    </row>
    <row r="7" spans="1:6" x14ac:dyDescent="0.3">
      <c r="A7">
        <v>60</v>
      </c>
      <c r="B7">
        <v>880</v>
      </c>
      <c r="C7">
        <v>269.89999999999998</v>
      </c>
      <c r="D7">
        <f t="shared" si="0"/>
        <v>0.30670454545454545</v>
      </c>
      <c r="E7">
        <f t="shared" si="1"/>
        <v>0.3</v>
      </c>
      <c r="F7">
        <f t="shared" si="2"/>
        <v>-6.704545454545463E-3</v>
      </c>
    </row>
    <row r="8" spans="1:6" x14ac:dyDescent="0.3">
      <c r="A8">
        <v>70</v>
      </c>
      <c r="B8">
        <v>880</v>
      </c>
      <c r="C8">
        <v>299.3</v>
      </c>
      <c r="D8">
        <f t="shared" si="0"/>
        <v>0.3401136363636364</v>
      </c>
      <c r="E8">
        <f t="shared" si="1"/>
        <v>0.35</v>
      </c>
      <c r="F8">
        <f t="shared" si="2"/>
        <v>9.8863636363635821E-3</v>
      </c>
    </row>
    <row r="9" spans="1:6" x14ac:dyDescent="0.3">
      <c r="A9">
        <v>80</v>
      </c>
      <c r="B9">
        <v>880</v>
      </c>
      <c r="C9">
        <v>353.3</v>
      </c>
      <c r="D9">
        <f t="shared" si="0"/>
        <v>0.40147727272727274</v>
      </c>
      <c r="E9">
        <f t="shared" si="1"/>
        <v>0.4</v>
      </c>
      <c r="F9">
        <f t="shared" si="2"/>
        <v>-1.477272727272716E-3</v>
      </c>
    </row>
    <row r="10" spans="1:6" x14ac:dyDescent="0.3">
      <c r="A10">
        <v>90</v>
      </c>
      <c r="B10">
        <v>880</v>
      </c>
      <c r="C10">
        <v>402.4</v>
      </c>
      <c r="D10">
        <f t="shared" si="0"/>
        <v>0.45727272727272722</v>
      </c>
      <c r="E10">
        <f t="shared" si="1"/>
        <v>0.45</v>
      </c>
      <c r="F10">
        <f t="shared" si="2"/>
        <v>-7.2727272727272085E-3</v>
      </c>
    </row>
    <row r="11" spans="1:6" x14ac:dyDescent="0.3">
      <c r="A11">
        <v>100</v>
      </c>
      <c r="B11">
        <v>880</v>
      </c>
      <c r="C11">
        <v>436.7</v>
      </c>
      <c r="D11">
        <f t="shared" si="0"/>
        <v>0.49624999999999997</v>
      </c>
      <c r="E11">
        <f t="shared" si="1"/>
        <v>0.5</v>
      </c>
      <c r="F11">
        <f t="shared" si="2"/>
        <v>3.7500000000000311E-3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507A-C9D6-488C-A938-1014DBCC3322}">
  <dimension ref="A1:D2"/>
  <sheetViews>
    <sheetView tabSelected="1" workbookViewId="0">
      <selection activeCell="B2" sqref="B2"/>
    </sheetView>
  </sheetViews>
  <sheetFormatPr defaultRowHeight="14.4" x14ac:dyDescent="0.3"/>
  <sheetData>
    <row r="1" spans="1:4" x14ac:dyDescent="0.3">
      <c r="A1" t="s">
        <v>19</v>
      </c>
      <c r="B1" t="s">
        <v>20</v>
      </c>
    </row>
    <row r="2" spans="1:4" x14ac:dyDescent="0.3">
      <c r="A2" s="1">
        <v>3000</v>
      </c>
      <c r="B2" s="1">
        <v>1.0000000000000001E-9</v>
      </c>
      <c r="C2" s="1">
        <f>B2*A2</f>
        <v>3.0000000000000001E-6</v>
      </c>
      <c r="D2" s="1">
        <f>C2/20</f>
        <v>1.4999999999999999E-7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5F87-5AEB-429B-AD6A-BF5F59B4F736}">
  <dimension ref="A1:C8"/>
  <sheetViews>
    <sheetView workbookViewId="0">
      <selection activeCell="D15" sqref="D15"/>
    </sheetView>
  </sheetViews>
  <sheetFormatPr defaultRowHeight="14.4" x14ac:dyDescent="0.3"/>
  <sheetData>
    <row r="1" spans="1:3" x14ac:dyDescent="0.3">
      <c r="A1" t="s">
        <v>2</v>
      </c>
      <c r="B1" t="s">
        <v>21</v>
      </c>
      <c r="C1" t="s">
        <v>22</v>
      </c>
    </row>
    <row r="2" spans="1:3" x14ac:dyDescent="0.3">
      <c r="A2">
        <v>1</v>
      </c>
      <c r="B2">
        <v>108</v>
      </c>
      <c r="C2">
        <v>99</v>
      </c>
    </row>
    <row r="3" spans="1:3" x14ac:dyDescent="0.3">
      <c r="A3">
        <v>2</v>
      </c>
      <c r="B3">
        <v>106</v>
      </c>
      <c r="C3">
        <v>45</v>
      </c>
    </row>
    <row r="4" spans="1:3" x14ac:dyDescent="0.3">
      <c r="A4">
        <v>3</v>
      </c>
      <c r="B4">
        <v>102</v>
      </c>
      <c r="C4">
        <v>31</v>
      </c>
    </row>
    <row r="5" spans="1:3" x14ac:dyDescent="0.3">
      <c r="A5">
        <v>4</v>
      </c>
      <c r="B5">
        <v>101</v>
      </c>
      <c r="C5">
        <v>21</v>
      </c>
    </row>
    <row r="6" spans="1:3" x14ac:dyDescent="0.3">
      <c r="A6">
        <v>5</v>
      </c>
      <c r="B6">
        <v>96</v>
      </c>
      <c r="C6">
        <v>20</v>
      </c>
    </row>
    <row r="7" spans="1:3" x14ac:dyDescent="0.3">
      <c r="A7">
        <v>6</v>
      </c>
      <c r="B7">
        <v>91</v>
      </c>
      <c r="C7">
        <v>15</v>
      </c>
    </row>
    <row r="8" spans="1:3" x14ac:dyDescent="0.3">
      <c r="A8">
        <v>7</v>
      </c>
      <c r="B8">
        <v>85</v>
      </c>
      <c r="C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2025-11-15T07:14:52Z</dcterms:created>
  <dcterms:modified xsi:type="dcterms:W3CDTF">2025-11-22T13:08:24Z</dcterms:modified>
</cp:coreProperties>
</file>