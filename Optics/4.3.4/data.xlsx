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MIPT_Labs\Optics\4.3.4\"/>
    </mc:Choice>
  </mc:AlternateContent>
  <xr:revisionPtr revIDLastSave="0" documentId="13_ncr:1_{7F26F3AA-0D06-4FED-872A-9B6BEAEC10B9}" xr6:coauthVersionLast="47" xr6:coauthVersionMax="47" xr10:uidLastSave="{00000000-0000-0000-0000-000000000000}"/>
  <bookViews>
    <workbookView xWindow="7140" yWindow="804" windowWidth="12108" windowHeight="8496" xr2:uid="{0694F7CE-C6AA-4237-BA6F-AD4985EACFCB}"/>
  </bookViews>
  <sheets>
    <sheet name="Лист1" sheetId="1" r:id="rId1"/>
    <sheet name="Лист2" sheetId="2" r:id="rId2"/>
    <sheet name="Лист3" sheetId="3" r:id="rId3"/>
    <sheet name="Лист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4" l="1"/>
  <c r="E4" i="1"/>
  <c r="F4" i="1" s="1"/>
  <c r="E8" i="1"/>
  <c r="F8" i="1" s="1"/>
  <c r="E2" i="1"/>
  <c r="F2" i="1" s="1"/>
  <c r="C3" i="1"/>
  <c r="E3" i="1" s="1"/>
  <c r="F3" i="1" s="1"/>
  <c r="C4" i="1"/>
  <c r="C5" i="1"/>
  <c r="E5" i="1" s="1"/>
  <c r="F5" i="1" s="1"/>
  <c r="C6" i="1"/>
  <c r="E6" i="1" s="1"/>
  <c r="F6" i="1" s="1"/>
  <c r="C7" i="1"/>
  <c r="E7" i="1" s="1"/>
  <c r="F7" i="1" s="1"/>
  <c r="C8" i="1"/>
  <c r="C9" i="1"/>
  <c r="E9" i="1" s="1"/>
  <c r="F9" i="1" s="1"/>
  <c r="C10" i="1"/>
  <c r="E10" i="1" s="1"/>
  <c r="F10" i="1" s="1"/>
  <c r="C11" i="1"/>
  <c r="E11" i="1" s="1"/>
  <c r="F11" i="1" s="1"/>
  <c r="C2" i="1"/>
  <c r="B1" i="4"/>
  <c r="D1" i="4" s="1"/>
  <c r="F2" i="3"/>
  <c r="F3" i="3"/>
  <c r="F4" i="3"/>
  <c r="F5" i="3"/>
  <c r="F6" i="3"/>
  <c r="F7" i="3"/>
  <c r="E3" i="3"/>
  <c r="E4" i="3"/>
  <c r="E5" i="3"/>
  <c r="E6" i="3"/>
  <c r="E7" i="3"/>
  <c r="E2" i="3"/>
  <c r="F3" i="2"/>
  <c r="F4" i="2"/>
  <c r="F2" i="2"/>
  <c r="E3" i="2"/>
  <c r="E4" i="2"/>
  <c r="E2" i="2"/>
</calcChain>
</file>

<file path=xl/sharedStrings.xml><?xml version="1.0" encoding="utf-8"?>
<sst xmlns="http://schemas.openxmlformats.org/spreadsheetml/2006/main" count="23" uniqueCount="17">
  <si>
    <t>D</t>
  </si>
  <si>
    <t>D1</t>
  </si>
  <si>
    <t>x1</t>
  </si>
  <si>
    <t>x2</t>
  </si>
  <si>
    <t>m</t>
  </si>
  <si>
    <t>D_p</t>
  </si>
  <si>
    <t>Delta</t>
  </si>
  <si>
    <t>n</t>
  </si>
  <si>
    <t>Dx</t>
  </si>
  <si>
    <t>N</t>
  </si>
  <si>
    <t>d_c</t>
  </si>
  <si>
    <t>x/y</t>
  </si>
  <si>
    <t>x</t>
  </si>
  <si>
    <t>y</t>
  </si>
  <si>
    <t>DX</t>
  </si>
  <si>
    <t>Dl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</si>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</sst>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FEE2-B732-4D0F-97B2-3F05859FAEF2}">
  <dimension ref="A1:F11"/>
  <sheetViews>
    <sheetView tabSelected="1" workbookViewId="0">
      <selection activeCell="E1" sqref="E1:F1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15</v>
      </c>
      <c r="E1" t="s">
        <v>6</v>
      </c>
      <c r="F1" t="s">
        <v>16</v>
      </c>
    </row>
    <row r="2" spans="1:6" x14ac:dyDescent="0.3">
      <c r="A2">
        <v>50</v>
      </c>
      <c r="B2">
        <v>1</v>
      </c>
      <c r="C2" s="2">
        <f>B2/0.0234545</f>
        <v>42.635741542134774</v>
      </c>
      <c r="E2" s="2">
        <f>C2-A2</f>
        <v>-7.3642584578652261</v>
      </c>
      <c r="F2" s="2">
        <f>ABS(E2/A2)</f>
        <v>0.14728516915730452</v>
      </c>
    </row>
    <row r="3" spans="1:6" x14ac:dyDescent="0.3">
      <c r="A3">
        <v>100</v>
      </c>
      <c r="B3">
        <v>2</v>
      </c>
      <c r="C3" s="2">
        <f t="shared" ref="C3:C11" si="0">B3/0.0234545</f>
        <v>85.271483084269548</v>
      </c>
      <c r="E3" s="2">
        <f>C3-A3</f>
        <v>-14.728516915730452</v>
      </c>
      <c r="F3" s="2">
        <f>ABS(E3/A3)</f>
        <v>0.14728516915730452</v>
      </c>
    </row>
    <row r="4" spans="1:6" x14ac:dyDescent="0.3">
      <c r="A4">
        <v>150</v>
      </c>
      <c r="B4">
        <v>4</v>
      </c>
      <c r="C4" s="2">
        <f t="shared" si="0"/>
        <v>170.5429661685391</v>
      </c>
      <c r="E4" s="2">
        <f>C4-A4</f>
        <v>20.542966168539095</v>
      </c>
      <c r="F4" s="2">
        <f>ABS(E4/A4)</f>
        <v>0.13695310779026063</v>
      </c>
    </row>
    <row r="5" spans="1:6" x14ac:dyDescent="0.3">
      <c r="A5">
        <v>200</v>
      </c>
      <c r="B5">
        <v>6</v>
      </c>
      <c r="C5" s="2">
        <f t="shared" si="0"/>
        <v>255.81444925280863</v>
      </c>
      <c r="E5" s="2">
        <f>C5-A5</f>
        <v>55.814449252808629</v>
      </c>
      <c r="F5" s="2">
        <f>ABS(E5/A5)</f>
        <v>0.27907224626404314</v>
      </c>
    </row>
    <row r="6" spans="1:6" x14ac:dyDescent="0.3">
      <c r="A6">
        <v>250</v>
      </c>
      <c r="B6">
        <v>7</v>
      </c>
      <c r="C6" s="2">
        <f t="shared" si="0"/>
        <v>298.45019079494341</v>
      </c>
      <c r="E6" s="2">
        <f>C6-A6</f>
        <v>48.45019079494341</v>
      </c>
      <c r="F6" s="2">
        <f>ABS(E6/A6)</f>
        <v>0.19380076317977363</v>
      </c>
    </row>
    <row r="7" spans="1:6" x14ac:dyDescent="0.3">
      <c r="A7">
        <v>300</v>
      </c>
      <c r="B7">
        <v>8</v>
      </c>
      <c r="C7" s="2">
        <f t="shared" si="0"/>
        <v>341.08593233707819</v>
      </c>
      <c r="E7" s="2">
        <f>C7-A7</f>
        <v>41.085932337078191</v>
      </c>
      <c r="F7" s="2">
        <f>ABS(E7/A7)</f>
        <v>0.13695310779026063</v>
      </c>
    </row>
    <row r="8" spans="1:6" x14ac:dyDescent="0.3">
      <c r="A8">
        <v>350</v>
      </c>
      <c r="B8">
        <v>10</v>
      </c>
      <c r="C8" s="2">
        <f t="shared" si="0"/>
        <v>426.3574154213477</v>
      </c>
      <c r="E8" s="2">
        <f>C8-A8</f>
        <v>76.357415421347696</v>
      </c>
      <c r="F8" s="2">
        <f>ABS(E8/A8)</f>
        <v>0.21816404406099341</v>
      </c>
    </row>
    <row r="9" spans="1:6" x14ac:dyDescent="0.3">
      <c r="A9">
        <v>400</v>
      </c>
      <c r="B9">
        <v>11</v>
      </c>
      <c r="C9" s="2">
        <f t="shared" si="0"/>
        <v>468.99315696348248</v>
      </c>
      <c r="E9" s="2">
        <f>C9-A9</f>
        <v>68.993156963482477</v>
      </c>
      <c r="F9" s="2">
        <f>ABS(E9/A9)</f>
        <v>0.17248289240870618</v>
      </c>
    </row>
    <row r="10" spans="1:6" x14ac:dyDescent="0.3">
      <c r="A10">
        <v>450</v>
      </c>
      <c r="B10">
        <v>12</v>
      </c>
      <c r="C10" s="2">
        <f t="shared" si="0"/>
        <v>511.62889850561726</v>
      </c>
      <c r="E10" s="2">
        <f>C10-A10</f>
        <v>61.628898505617258</v>
      </c>
      <c r="F10" s="2">
        <f>ABS(E10/A10)</f>
        <v>0.13695310779026057</v>
      </c>
    </row>
    <row r="11" spans="1:6" x14ac:dyDescent="0.3">
      <c r="A11">
        <v>500</v>
      </c>
      <c r="B11">
        <v>13</v>
      </c>
      <c r="C11" s="2">
        <f t="shared" si="0"/>
        <v>554.26464004775198</v>
      </c>
      <c r="E11" s="2">
        <f>C11-A11</f>
        <v>54.264640047751982</v>
      </c>
      <c r="F11" s="2">
        <f>ABS(E11/A11)</f>
        <v>0.10852928009550396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80EF-5D35-457D-8FE7-718072681B48}">
  <dimension ref="A1:F4"/>
  <sheetViews>
    <sheetView workbookViewId="0">
      <selection activeCell="F5" sqref="F5"/>
    </sheetView>
  </sheetViews>
  <sheetFormatPr defaultRowHeight="14.4" x14ac:dyDescent="0.3"/>
  <sheetData>
    <row r="1" spans="1:6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>
        <v>50</v>
      </c>
      <c r="B2">
        <v>35</v>
      </c>
      <c r="C2">
        <v>145</v>
      </c>
      <c r="D2">
        <v>3</v>
      </c>
      <c r="E2" s="1">
        <f>532*1340*D2*2/(C2-B2)/1000</f>
        <v>38.884363636363638</v>
      </c>
      <c r="F2" s="1">
        <f>E2-A2</f>
        <v>-11.115636363636362</v>
      </c>
    </row>
    <row r="3" spans="1:6" x14ac:dyDescent="0.3">
      <c r="A3">
        <v>100</v>
      </c>
      <c r="B3">
        <v>19</v>
      </c>
      <c r="C3">
        <v>100</v>
      </c>
      <c r="D3">
        <v>5</v>
      </c>
      <c r="E3" s="1">
        <f t="shared" ref="E3:E4" si="0">532*1340*D3*2/(C3-B3)/1000</f>
        <v>88.00987654320987</v>
      </c>
      <c r="F3" s="1">
        <f t="shared" ref="F3:F4" si="1">E3-A3</f>
        <v>-11.99012345679013</v>
      </c>
    </row>
    <row r="4" spans="1:6" x14ac:dyDescent="0.3">
      <c r="A4">
        <v>150</v>
      </c>
      <c r="B4">
        <v>11</v>
      </c>
      <c r="C4">
        <v>73</v>
      </c>
      <c r="D4">
        <v>6</v>
      </c>
      <c r="E4" s="1">
        <f t="shared" si="0"/>
        <v>137.97677419354838</v>
      </c>
      <c r="F4" s="1">
        <f t="shared" si="1"/>
        <v>-12.02322580645162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F66F-50D8-4B54-962E-DC337B50C225}">
  <dimension ref="A1:F7"/>
  <sheetViews>
    <sheetView workbookViewId="0">
      <selection activeCell="F14" sqref="F14"/>
    </sheetView>
  </sheetViews>
  <sheetFormatPr defaultRowHeight="14.4" x14ac:dyDescent="0.3"/>
  <sheetData>
    <row r="1" spans="1:6" x14ac:dyDescent="0.3">
      <c r="A1" t="s">
        <v>9</v>
      </c>
      <c r="B1" t="s">
        <v>11</v>
      </c>
      <c r="C1" t="s">
        <v>8</v>
      </c>
      <c r="D1" t="s">
        <v>7</v>
      </c>
      <c r="E1" t="s">
        <v>14</v>
      </c>
      <c r="F1" t="s">
        <v>10</v>
      </c>
    </row>
    <row r="2" spans="1:6" x14ac:dyDescent="0.3">
      <c r="A2">
        <v>1</v>
      </c>
      <c r="B2" t="s">
        <v>12</v>
      </c>
      <c r="C2">
        <v>144</v>
      </c>
      <c r="D2">
        <v>2</v>
      </c>
      <c r="E2" s="2">
        <f>C2/D2</f>
        <v>72</v>
      </c>
      <c r="F2" s="2">
        <f t="shared" ref="F2:F6" si="0">532*1340/(C2/D2)/1000</f>
        <v>9.9011111111111116</v>
      </c>
    </row>
    <row r="3" spans="1:6" x14ac:dyDescent="0.3">
      <c r="A3">
        <v>1</v>
      </c>
      <c r="B3" t="s">
        <v>13</v>
      </c>
      <c r="C3">
        <v>215</v>
      </c>
      <c r="D3">
        <v>3</v>
      </c>
      <c r="E3" s="2">
        <f t="shared" ref="E3:E7" si="1">C3/D3</f>
        <v>71.666666666666671</v>
      </c>
      <c r="F3" s="2">
        <f t="shared" si="0"/>
        <v>9.9471627906976732</v>
      </c>
    </row>
    <row r="4" spans="1:6" x14ac:dyDescent="0.3">
      <c r="A4">
        <v>2</v>
      </c>
      <c r="B4" t="s">
        <v>12</v>
      </c>
      <c r="C4">
        <v>115</v>
      </c>
      <c r="D4">
        <v>4</v>
      </c>
      <c r="E4" s="2">
        <f t="shared" si="1"/>
        <v>28.75</v>
      </c>
      <c r="F4" s="2">
        <f t="shared" si="0"/>
        <v>24.79582608695652</v>
      </c>
    </row>
    <row r="5" spans="1:6" x14ac:dyDescent="0.3">
      <c r="A5">
        <v>2</v>
      </c>
      <c r="B5" t="s">
        <v>13</v>
      </c>
      <c r="C5">
        <v>115</v>
      </c>
      <c r="D5">
        <v>4</v>
      </c>
      <c r="E5" s="2">
        <f t="shared" si="1"/>
        <v>28.75</v>
      </c>
      <c r="F5" s="2">
        <f t="shared" si="0"/>
        <v>24.79582608695652</v>
      </c>
    </row>
    <row r="6" spans="1:6" x14ac:dyDescent="0.3">
      <c r="A6">
        <v>3</v>
      </c>
      <c r="B6" t="s">
        <v>12</v>
      </c>
      <c r="C6">
        <v>87</v>
      </c>
      <c r="D6">
        <v>6</v>
      </c>
      <c r="E6" s="2">
        <f t="shared" si="1"/>
        <v>14.5</v>
      </c>
      <c r="F6" s="2">
        <f t="shared" si="0"/>
        <v>49.164137931034489</v>
      </c>
    </row>
    <row r="7" spans="1:6" x14ac:dyDescent="0.3">
      <c r="A7">
        <v>3</v>
      </c>
      <c r="B7" t="s">
        <v>13</v>
      </c>
      <c r="C7">
        <v>58</v>
      </c>
      <c r="D7">
        <v>4</v>
      </c>
      <c r="E7" s="2">
        <f t="shared" si="1"/>
        <v>14.5</v>
      </c>
      <c r="F7" s="2">
        <f>532*1340/(C7/D7)/1000</f>
        <v>49.164137931034489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A1AA4-4E5D-4EA6-9B08-97BDB021E7D4}">
  <dimension ref="A1:D2"/>
  <sheetViews>
    <sheetView workbookViewId="0">
      <selection activeCell="D4" sqref="D4"/>
    </sheetView>
  </sheetViews>
  <sheetFormatPr defaultRowHeight="14.4" x14ac:dyDescent="0.3"/>
  <sheetData>
    <row r="1" spans="1:4" x14ac:dyDescent="0.3">
      <c r="A1">
        <v>90</v>
      </c>
      <c r="B1">
        <f>A1/A2</f>
        <v>9.6694214876033051</v>
      </c>
      <c r="C1">
        <v>110</v>
      </c>
      <c r="D1">
        <f>C1*532/B1/1000</f>
        <v>6.0520683760683767</v>
      </c>
    </row>
    <row r="2" spans="1:4" x14ac:dyDescent="0.3">
      <c r="A2">
        <f>1210/130</f>
        <v>9.3076923076923084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2026-03-30T21:03:18Z</dcterms:created>
  <dcterms:modified xsi:type="dcterms:W3CDTF">2026-03-30T22:58:49Z</dcterms:modified>
</cp:coreProperties>
</file>