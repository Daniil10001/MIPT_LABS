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les\MIPT_Labs\Optics\4.2.1\"/>
    </mc:Choice>
  </mc:AlternateContent>
  <xr:revisionPtr revIDLastSave="0" documentId="13_ncr:1_{19455F59-F1BE-458C-88B9-D01ECCFACC51}" xr6:coauthVersionLast="47" xr6:coauthVersionMax="47" xr10:uidLastSave="{00000000-0000-0000-0000-000000000000}"/>
  <bookViews>
    <workbookView xWindow="-108" yWindow="-108" windowWidth="23256" windowHeight="12576" xr2:uid="{E607AE3C-73AB-428F-97F7-CB49908C06E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1" l="1"/>
  <c r="F14" i="1"/>
  <c r="F15" i="1"/>
  <c r="F16" i="1"/>
  <c r="F17" i="1"/>
  <c r="F18" i="1"/>
  <c r="F19" i="1"/>
  <c r="F20" i="1"/>
  <c r="F21" i="1"/>
  <c r="F12" i="1"/>
  <c r="F3" i="1"/>
  <c r="F4" i="1"/>
  <c r="F5" i="1"/>
  <c r="F6" i="1"/>
  <c r="F7" i="1"/>
  <c r="F8" i="1"/>
  <c r="F9" i="1"/>
  <c r="F10" i="1"/>
  <c r="F11" i="1"/>
  <c r="F2" i="1"/>
  <c r="D3" i="2"/>
  <c r="D2" i="2"/>
  <c r="B2" i="2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</calcChain>
</file>

<file path=xl/sharedStrings.xml><?xml version="1.0" encoding="utf-8"?>
<sst xmlns="http://schemas.openxmlformats.org/spreadsheetml/2006/main" count="6" uniqueCount="6">
  <si>
    <t>m</t>
  </si>
  <si>
    <t>b</t>
  </si>
  <si>
    <t>w</t>
  </si>
  <si>
    <t>rb</t>
  </si>
  <si>
    <t>rw</t>
  </si>
  <si>
    <t>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</si>
</sst>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6E93D-002F-48AF-8E09-67B4169BD4EF}">
  <dimension ref="A1:F21"/>
  <sheetViews>
    <sheetView tabSelected="1" workbookViewId="0">
      <selection activeCell="H16" sqref="H1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</v>
      </c>
      <c r="B2">
        <v>12</v>
      </c>
      <c r="C2">
        <v>19</v>
      </c>
      <c r="D2">
        <f>AVERAGE($B$2:$C$21)-B2</f>
        <v>281.48750000000001</v>
      </c>
      <c r="E2">
        <f>AVERAGE($B$2:$C$21)-C2</f>
        <v>274.48750000000001</v>
      </c>
      <c r="F2">
        <f>A2-0.5</f>
        <v>9.5</v>
      </c>
    </row>
    <row r="3" spans="1:6" x14ac:dyDescent="0.3">
      <c r="A3">
        <v>9</v>
      </c>
      <c r="B3">
        <v>24</v>
      </c>
      <c r="C3">
        <v>30</v>
      </c>
      <c r="D3">
        <f t="shared" ref="D3:E21" si="0">AVERAGE($B$2:$C$21)-B3</f>
        <v>269.48750000000001</v>
      </c>
      <c r="E3">
        <f t="shared" si="0"/>
        <v>263.48750000000001</v>
      </c>
      <c r="F3">
        <f t="shared" ref="F3:F11" si="1">A3-0.5</f>
        <v>8.5</v>
      </c>
    </row>
    <row r="4" spans="1:6" x14ac:dyDescent="0.3">
      <c r="A4">
        <v>8</v>
      </c>
      <c r="B4">
        <v>38</v>
      </c>
      <c r="C4">
        <v>48</v>
      </c>
      <c r="D4">
        <f t="shared" si="0"/>
        <v>255.48750000000001</v>
      </c>
      <c r="E4">
        <f t="shared" si="0"/>
        <v>245.48750000000001</v>
      </c>
      <c r="F4">
        <f t="shared" si="1"/>
        <v>7.5</v>
      </c>
    </row>
    <row r="5" spans="1:6" x14ac:dyDescent="0.3">
      <c r="A5">
        <v>7</v>
      </c>
      <c r="B5">
        <v>55</v>
      </c>
      <c r="C5">
        <v>62</v>
      </c>
      <c r="D5">
        <f t="shared" si="0"/>
        <v>238.48750000000001</v>
      </c>
      <c r="E5">
        <f t="shared" si="0"/>
        <v>231.48750000000001</v>
      </c>
      <c r="F5">
        <f t="shared" si="1"/>
        <v>6.5</v>
      </c>
    </row>
    <row r="6" spans="1:6" x14ac:dyDescent="0.3">
      <c r="A6">
        <v>6</v>
      </c>
      <c r="B6">
        <v>72</v>
      </c>
      <c r="C6">
        <v>80.5</v>
      </c>
      <c r="D6">
        <f t="shared" si="0"/>
        <v>221.48750000000001</v>
      </c>
      <c r="E6">
        <f t="shared" si="0"/>
        <v>212.98750000000001</v>
      </c>
      <c r="F6">
        <f t="shared" si="1"/>
        <v>5.5</v>
      </c>
    </row>
    <row r="7" spans="1:6" x14ac:dyDescent="0.3">
      <c r="A7">
        <v>5</v>
      </c>
      <c r="B7">
        <v>90.5</v>
      </c>
      <c r="C7">
        <v>99.5</v>
      </c>
      <c r="D7">
        <f t="shared" si="0"/>
        <v>202.98750000000001</v>
      </c>
      <c r="E7">
        <f t="shared" si="0"/>
        <v>193.98750000000001</v>
      </c>
      <c r="F7">
        <f t="shared" si="1"/>
        <v>4.5</v>
      </c>
    </row>
    <row r="8" spans="1:6" x14ac:dyDescent="0.3">
      <c r="A8">
        <v>4</v>
      </c>
      <c r="B8">
        <v>110</v>
      </c>
      <c r="C8">
        <v>121</v>
      </c>
      <c r="D8">
        <f t="shared" si="0"/>
        <v>183.48750000000001</v>
      </c>
      <c r="E8">
        <f t="shared" si="0"/>
        <v>172.48750000000001</v>
      </c>
      <c r="F8">
        <f t="shared" si="1"/>
        <v>3.5</v>
      </c>
    </row>
    <row r="9" spans="1:6" x14ac:dyDescent="0.3">
      <c r="A9">
        <v>3</v>
      </c>
      <c r="B9">
        <v>134.5</v>
      </c>
      <c r="C9">
        <v>149</v>
      </c>
      <c r="D9">
        <f t="shared" si="0"/>
        <v>158.98750000000001</v>
      </c>
      <c r="E9">
        <f t="shared" si="0"/>
        <v>144.48750000000001</v>
      </c>
      <c r="F9">
        <f t="shared" si="1"/>
        <v>2.5</v>
      </c>
    </row>
    <row r="10" spans="1:6" x14ac:dyDescent="0.3">
      <c r="A10">
        <v>2</v>
      </c>
      <c r="B10">
        <v>163.5</v>
      </c>
      <c r="C10">
        <v>185</v>
      </c>
      <c r="D10">
        <f t="shared" si="0"/>
        <v>129.98750000000001</v>
      </c>
      <c r="E10">
        <f t="shared" si="0"/>
        <v>108.48750000000001</v>
      </c>
      <c r="F10">
        <f t="shared" si="1"/>
        <v>1.5</v>
      </c>
    </row>
    <row r="11" spans="1:6" x14ac:dyDescent="0.3">
      <c r="A11">
        <v>1</v>
      </c>
      <c r="B11">
        <v>207</v>
      </c>
      <c r="C11">
        <v>230.5</v>
      </c>
      <c r="D11">
        <f t="shared" si="0"/>
        <v>86.487500000000011</v>
      </c>
      <c r="E11">
        <f t="shared" si="0"/>
        <v>62.987500000000011</v>
      </c>
      <c r="F11">
        <f t="shared" si="1"/>
        <v>0.5</v>
      </c>
    </row>
    <row r="12" spans="1:6" x14ac:dyDescent="0.3">
      <c r="A12">
        <v>-1</v>
      </c>
      <c r="B12">
        <v>386</v>
      </c>
      <c r="C12">
        <v>365</v>
      </c>
      <c r="D12">
        <f t="shared" si="0"/>
        <v>-92.512499999999989</v>
      </c>
      <c r="E12">
        <f t="shared" si="0"/>
        <v>-71.512499999999989</v>
      </c>
      <c r="F12">
        <f>A12+0.5</f>
        <v>-0.5</v>
      </c>
    </row>
    <row r="13" spans="1:6" x14ac:dyDescent="0.3">
      <c r="A13">
        <v>-2</v>
      </c>
      <c r="B13">
        <v>420</v>
      </c>
      <c r="C13">
        <v>405</v>
      </c>
      <c r="D13">
        <f t="shared" si="0"/>
        <v>-126.51249999999999</v>
      </c>
      <c r="E13">
        <f t="shared" si="0"/>
        <v>-111.51249999999999</v>
      </c>
      <c r="F13">
        <f t="shared" ref="F13:F21" si="2">A13+0.5</f>
        <v>-1.5</v>
      </c>
    </row>
    <row r="14" spans="1:6" x14ac:dyDescent="0.3">
      <c r="A14">
        <v>-3</v>
      </c>
      <c r="B14">
        <v>451</v>
      </c>
      <c r="C14">
        <v>438</v>
      </c>
      <c r="D14">
        <f t="shared" si="0"/>
        <v>-157.51249999999999</v>
      </c>
      <c r="E14">
        <f t="shared" si="0"/>
        <v>-144.51249999999999</v>
      </c>
      <c r="F14">
        <f t="shared" si="2"/>
        <v>-2.5</v>
      </c>
    </row>
    <row r="15" spans="1:6" x14ac:dyDescent="0.3">
      <c r="A15">
        <v>-4</v>
      </c>
      <c r="B15">
        <v>475.5</v>
      </c>
      <c r="C15">
        <v>463</v>
      </c>
      <c r="D15">
        <f t="shared" si="0"/>
        <v>-182.01249999999999</v>
      </c>
      <c r="E15">
        <f t="shared" si="0"/>
        <v>-169.51249999999999</v>
      </c>
      <c r="F15">
        <f t="shared" si="2"/>
        <v>-3.5</v>
      </c>
    </row>
    <row r="16" spans="1:6" x14ac:dyDescent="0.3">
      <c r="A16">
        <v>-5</v>
      </c>
      <c r="B16">
        <v>501</v>
      </c>
      <c r="C16">
        <v>486</v>
      </c>
      <c r="D16">
        <f t="shared" si="0"/>
        <v>-207.51249999999999</v>
      </c>
      <c r="E16">
        <f t="shared" si="0"/>
        <v>-192.51249999999999</v>
      </c>
      <c r="F16">
        <f t="shared" si="2"/>
        <v>-4.5</v>
      </c>
    </row>
    <row r="17" spans="1:6" x14ac:dyDescent="0.3">
      <c r="A17">
        <v>-6</v>
      </c>
      <c r="B17">
        <v>516</v>
      </c>
      <c r="C17">
        <v>506</v>
      </c>
      <c r="D17">
        <f t="shared" si="0"/>
        <v>-222.51249999999999</v>
      </c>
      <c r="E17">
        <f t="shared" si="0"/>
        <v>-212.51249999999999</v>
      </c>
      <c r="F17">
        <f t="shared" si="2"/>
        <v>-5.5</v>
      </c>
    </row>
    <row r="18" spans="1:6" x14ac:dyDescent="0.3">
      <c r="A18">
        <v>-7</v>
      </c>
      <c r="B18">
        <v>531</v>
      </c>
      <c r="C18">
        <v>524</v>
      </c>
      <c r="D18">
        <f t="shared" si="0"/>
        <v>-237.51249999999999</v>
      </c>
      <c r="E18">
        <f t="shared" si="0"/>
        <v>-230.51249999999999</v>
      </c>
      <c r="F18">
        <f t="shared" si="2"/>
        <v>-6.5</v>
      </c>
    </row>
    <row r="19" spans="1:6" x14ac:dyDescent="0.3">
      <c r="A19">
        <v>-8</v>
      </c>
      <c r="B19">
        <v>547</v>
      </c>
      <c r="C19">
        <v>537</v>
      </c>
      <c r="D19">
        <f t="shared" si="0"/>
        <v>-253.51249999999999</v>
      </c>
      <c r="E19">
        <f t="shared" si="0"/>
        <v>-243.51249999999999</v>
      </c>
      <c r="F19">
        <f t="shared" si="2"/>
        <v>-7.5</v>
      </c>
    </row>
    <row r="20" spans="1:6" x14ac:dyDescent="0.3">
      <c r="A20">
        <v>-9</v>
      </c>
      <c r="B20">
        <v>563</v>
      </c>
      <c r="C20">
        <v>554</v>
      </c>
      <c r="D20">
        <f t="shared" si="0"/>
        <v>-269.51249999999999</v>
      </c>
      <c r="E20">
        <f t="shared" si="0"/>
        <v>-260.51249999999999</v>
      </c>
      <c r="F20">
        <f t="shared" si="2"/>
        <v>-8.5</v>
      </c>
    </row>
    <row r="21" spans="1:6" x14ac:dyDescent="0.3">
      <c r="A21">
        <v>-10</v>
      </c>
      <c r="B21">
        <v>572</v>
      </c>
      <c r="C21">
        <v>568</v>
      </c>
      <c r="D21">
        <f t="shared" si="0"/>
        <v>-278.51249999999999</v>
      </c>
      <c r="E21">
        <f t="shared" si="0"/>
        <v>-274.51249999999999</v>
      </c>
      <c r="F21">
        <f t="shared" si="2"/>
        <v>-9.5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7D3F6-346B-471D-A024-9C2251629C48}">
  <dimension ref="B2:D3"/>
  <sheetViews>
    <sheetView workbookViewId="0">
      <selection activeCell="D4" sqref="D4"/>
    </sheetView>
  </sheetViews>
  <sheetFormatPr defaultRowHeight="14.4" x14ac:dyDescent="0.3"/>
  <sheetData>
    <row r="2" spans="2:4" x14ac:dyDescent="0.3">
      <c r="B2">
        <f>AVERAGE(Лист1!B2:C21)</f>
        <v>293.48750000000001</v>
      </c>
      <c r="C2">
        <v>249</v>
      </c>
      <c r="D2">
        <f>B2-C2</f>
        <v>44.487500000000011</v>
      </c>
    </row>
    <row r="3" spans="2:4" x14ac:dyDescent="0.3">
      <c r="C3">
        <v>342</v>
      </c>
      <c r="D3">
        <f>B2-C3</f>
        <v>-48.512499999999989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</dc:creator>
  <cp:lastModifiedBy>Daniil</cp:lastModifiedBy>
  <dcterms:created xsi:type="dcterms:W3CDTF">2026-03-16T20:21:41Z</dcterms:created>
  <dcterms:modified xsi:type="dcterms:W3CDTF">2026-03-16T21:09:17Z</dcterms:modified>
</cp:coreProperties>
</file>