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Thermadinamics\Lab_phys_2.2.6\"/>
    </mc:Choice>
  </mc:AlternateContent>
  <xr:revisionPtr revIDLastSave="0" documentId="13_ncr:1_{2DF4E41A-2052-46D0-8866-7AEE9E8B9641}" xr6:coauthVersionLast="47" xr6:coauthVersionMax="47" xr10:uidLastSave="{00000000-0000-0000-0000-000000000000}"/>
  <bookViews>
    <workbookView xWindow="-108" yWindow="-108" windowWidth="23256" windowHeight="12576" xr2:uid="{811903C8-4570-4DA3-8FC1-78000249F3FF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7" i="1"/>
  <c r="L18" i="1"/>
  <c r="L19" i="1"/>
  <c r="L20" i="1"/>
  <c r="L4" i="1"/>
  <c r="H21" i="1"/>
  <c r="I21" i="1" s="1"/>
  <c r="K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/>
  <c r="B28" i="1"/>
  <c r="B27" i="1"/>
  <c r="B26" i="1"/>
  <c r="B25" i="1"/>
  <c r="B24" i="1"/>
  <c r="B23" i="1"/>
  <c r="B22" i="1"/>
  <c r="B21" i="1"/>
  <c r="L21" i="1" s="1"/>
  <c r="H14" i="1"/>
  <c r="I14" i="1" s="1"/>
  <c r="K14" i="1" s="1"/>
  <c r="H15" i="1"/>
  <c r="I15" i="1" s="1"/>
  <c r="K15" i="1" s="1"/>
  <c r="H16" i="1"/>
  <c r="I16" i="1" s="1"/>
  <c r="K16" i="1" s="1"/>
  <c r="H17" i="1"/>
  <c r="I17" i="1" s="1"/>
  <c r="K17" i="1" s="1"/>
  <c r="H18" i="1"/>
  <c r="H19" i="1"/>
  <c r="H20" i="1"/>
  <c r="I20" i="1" s="1"/>
  <c r="K20" i="1" s="1"/>
  <c r="I13" i="1"/>
  <c r="K13" i="1" s="1"/>
  <c r="I18" i="1"/>
  <c r="K18" i="1" s="1"/>
  <c r="I19" i="1"/>
  <c r="K19" i="1" s="1"/>
  <c r="H13" i="1"/>
  <c r="B20" i="1"/>
  <c r="B19" i="1"/>
  <c r="B18" i="1"/>
  <c r="B17" i="1"/>
  <c r="B16" i="1"/>
  <c r="L16" i="1" s="1"/>
  <c r="B15" i="1"/>
  <c r="B14" i="1"/>
  <c r="B13" i="1"/>
  <c r="H12" i="1"/>
  <c r="I12" i="1" s="1"/>
  <c r="K12" i="1" s="1"/>
  <c r="H11" i="1"/>
  <c r="I11" i="1" s="1"/>
  <c r="K11" i="1" s="1"/>
  <c r="B10" i="1"/>
  <c r="H10" i="1"/>
  <c r="I10" i="1" s="1"/>
  <c r="K10" i="1" s="1"/>
  <c r="H8" i="1"/>
  <c r="I8" i="1" s="1"/>
  <c r="K8" i="1" s="1"/>
  <c r="H9" i="1"/>
  <c r="I9" i="1" s="1"/>
  <c r="K9" i="1" s="1"/>
  <c r="H4" i="1"/>
  <c r="I4" i="1" s="1"/>
  <c r="K4" i="1" s="1"/>
  <c r="H5" i="1"/>
  <c r="I5" i="1" s="1"/>
  <c r="K5" i="1" s="1"/>
  <c r="H6" i="1"/>
  <c r="I6" i="1" s="1"/>
  <c r="K6" i="1" s="1"/>
  <c r="H7" i="1"/>
  <c r="I7" i="1" s="1"/>
  <c r="K7" i="1" s="1"/>
  <c r="H3" i="1"/>
  <c r="G3" i="1"/>
  <c r="B3" i="1"/>
  <c r="B4" i="1"/>
  <c r="B5" i="1"/>
  <c r="B6" i="1"/>
  <c r="B7" i="1"/>
  <c r="B8" i="1"/>
  <c r="B9" i="1"/>
  <c r="B11" i="1"/>
  <c r="B12" i="1"/>
  <c r="G2" i="1"/>
  <c r="H2" i="1" s="1"/>
  <c r="B2" i="2"/>
  <c r="A2" i="2"/>
  <c r="B2" i="1"/>
</calcChain>
</file>

<file path=xl/sharedStrings.xml><?xml version="1.0" encoding="utf-8"?>
<sst xmlns="http://schemas.openxmlformats.org/spreadsheetml/2006/main" count="15" uniqueCount="15">
  <si>
    <t>Temp</t>
  </si>
  <si>
    <t>Tk</t>
  </si>
  <si>
    <t>rho</t>
  </si>
  <si>
    <t>vust</t>
  </si>
  <si>
    <t>l1</t>
  </si>
  <si>
    <t>l2</t>
  </si>
  <si>
    <t>T</t>
  </si>
  <si>
    <t>l</t>
  </si>
  <si>
    <t>rho_gl</t>
  </si>
  <si>
    <t>r</t>
  </si>
  <si>
    <t>n</t>
  </si>
  <si>
    <t>lnn</t>
  </si>
  <si>
    <t>1/T</t>
  </si>
  <si>
    <t>0.5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</si>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</sst>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Лист1!$L$3</c:f>
              <c:strCache>
                <c:ptCount val="1"/>
                <c:pt idx="0">
                  <c:v>1/T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Лист1!$K$4:$K$21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3.2061706468256221</c:v>
                </c:pt>
                <c:pt idx="3">
                  <c:v>3.2642315265889978</c:v>
                </c:pt>
                <c:pt idx="4">
                  <c:v>-0.99256828664031693</c:v>
                </c:pt>
                <c:pt idx="5">
                  <c:v>-1.1994178605177288</c:v>
                </c:pt>
                <c:pt idx="6">
                  <c:v>1.3533289228774146</c:v>
                </c:pt>
                <c:pt idx="7">
                  <c:v>2.7448359521399404</c:v>
                </c:pt>
                <c:pt idx="8">
                  <c:v>2.4676830210143663</c:v>
                </c:pt>
                <c:pt idx="9">
                  <c:v>0.80289804451906444</c:v>
                </c:pt>
                <c:pt idx="10">
                  <c:v>-3.8022721414690266</c:v>
                </c:pt>
                <c:pt idx="11">
                  <c:v>0.78788810746148541</c:v>
                </c:pt>
                <c:pt idx="12">
                  <c:v>2.1799066845289579</c:v>
                </c:pt>
                <c:pt idx="13">
                  <c:v>0.45737497237743352</c:v>
                </c:pt>
                <c:pt idx="14">
                  <c:v>-1.4118796920647438</c:v>
                </c:pt>
                <c:pt idx="15">
                  <c:v>0.63355894650813238</c:v>
                </c:pt>
                <c:pt idx="16">
                  <c:v>1.6378000377783266</c:v>
                </c:pt>
                <c:pt idx="17">
                  <c:v>-0.55690586310078483</c:v>
                </c:pt>
              </c:numCache>
            </c:numRef>
          </c:xVal>
          <c:yVal>
            <c:numRef>
              <c:f>Лист1!$L$4:$L$21</c:f>
              <c:numCache>
                <c:formatCode>General</c:formatCode>
                <c:ptCount val="18"/>
                <c:pt idx="0">
                  <c:v>3.4129692832764505E-3</c:v>
                </c:pt>
                <c:pt idx="1">
                  <c:v>3.4129692832764505E-3</c:v>
                </c:pt>
                <c:pt idx="2">
                  <c:v>3.4129692832764505E-3</c:v>
                </c:pt>
                <c:pt idx="3">
                  <c:v>3.4129692832764505E-3</c:v>
                </c:pt>
                <c:pt idx="4">
                  <c:v>3.3557046979865771E-3</c:v>
                </c:pt>
                <c:pt idx="5">
                  <c:v>3.3557046979865771E-3</c:v>
                </c:pt>
                <c:pt idx="6">
                  <c:v>3.3557046979865771E-3</c:v>
                </c:pt>
                <c:pt idx="7">
                  <c:v>3.3557046979865771E-3</c:v>
                </c:pt>
                <c:pt idx="8">
                  <c:v>3.3003300330033004E-3</c:v>
                </c:pt>
                <c:pt idx="9">
                  <c:v>3.3003300330033004E-3</c:v>
                </c:pt>
                <c:pt idx="10">
                  <c:v>3.3003300330033004E-3</c:v>
                </c:pt>
                <c:pt idx="11">
                  <c:v>3.3003300330033004E-3</c:v>
                </c:pt>
                <c:pt idx="12">
                  <c:v>3.246753246753247E-3</c:v>
                </c:pt>
                <c:pt idx="13">
                  <c:v>3.246753246753247E-3</c:v>
                </c:pt>
                <c:pt idx="14">
                  <c:v>3.246753246753247E-3</c:v>
                </c:pt>
                <c:pt idx="15">
                  <c:v>3.246753246753247E-3</c:v>
                </c:pt>
                <c:pt idx="16">
                  <c:v>3.1948881789137379E-3</c:v>
                </c:pt>
                <c:pt idx="17">
                  <c:v>3.1948881789137379E-3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2C-4B5F-AFD0-83C819346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385680"/>
        <c:axId val="331389640"/>
      </c:scatterChart>
      <c:valAx>
        <c:axId val="33138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1389640"/>
        <c:crosses val="autoZero"/>
        <c:crossBetween val="midCat"/>
      </c:valAx>
      <c:valAx>
        <c:axId val="331389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138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502920</xdr:colOff>
      <xdr:row>5</xdr:row>
      <xdr:rowOff>11430</xdr:rowOff>
    </xdr:from>
    <xdr:to>
      <xdr:col>20</xdr:col>
      <xdr:colOff>198120</xdr:colOff>
      <xdr:row>20</xdr:row>
      <xdr:rowOff>11430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BA7DBC7-9CED-8504-E6C2-8D650ACC3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0B65-D892-4E07-9F8B-B4EC847F6E18}">
  <dimension ref="A1:L28"/>
  <sheetViews>
    <sheetView tabSelected="1" workbookViewId="0">
      <selection activeCell="Q21" sqref="Q2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8</v>
      </c>
      <c r="D1" t="s">
        <v>2</v>
      </c>
      <c r="E1" t="s">
        <v>9</v>
      </c>
      <c r="F1" t="s">
        <v>6</v>
      </c>
      <c r="G1" t="s">
        <v>7</v>
      </c>
      <c r="H1" t="s">
        <v>3</v>
      </c>
      <c r="I1" t="s">
        <v>10</v>
      </c>
    </row>
    <row r="2" spans="1:12" x14ac:dyDescent="0.3">
      <c r="A2">
        <v>20</v>
      </c>
      <c r="B2">
        <f>A2+273</f>
        <v>293</v>
      </c>
      <c r="D2">
        <v>2.5</v>
      </c>
      <c r="F2">
        <v>66.66</v>
      </c>
      <c r="G2">
        <f>Лист2!$A$2+Лист2!$B$2</f>
        <v>22.2</v>
      </c>
      <c r="H2">
        <f>G2/F2</f>
        <v>0.33303330333033304</v>
      </c>
    </row>
    <row r="3" spans="1:12" x14ac:dyDescent="0.3">
      <c r="A3">
        <v>20</v>
      </c>
      <c r="B3">
        <f t="shared" ref="B3:B7" si="0">A3+273</f>
        <v>293</v>
      </c>
      <c r="F3">
        <v>67.5</v>
      </c>
      <c r="G3">
        <f>Лист2!$A$2+Лист2!$B$2</f>
        <v>22.2</v>
      </c>
      <c r="H3">
        <f>G3/F3</f>
        <v>0.3288888888888889</v>
      </c>
      <c r="K3" t="s">
        <v>11</v>
      </c>
      <c r="L3" t="s">
        <v>12</v>
      </c>
    </row>
    <row r="4" spans="1:12" x14ac:dyDescent="0.3">
      <c r="A4">
        <v>20</v>
      </c>
      <c r="B4">
        <f t="shared" si="0"/>
        <v>293</v>
      </c>
      <c r="C4">
        <v>1.26</v>
      </c>
      <c r="D4">
        <v>2.5</v>
      </c>
      <c r="E4" t="s">
        <v>13</v>
      </c>
      <c r="F4">
        <v>108</v>
      </c>
      <c r="G4">
        <v>20</v>
      </c>
      <c r="H4">
        <f t="shared" ref="H4:H7" si="1">G4/F4</f>
        <v>0.18518518518518517</v>
      </c>
      <c r="I4" t="e">
        <f>E4*E4*(D4-C4)/H4</f>
        <v>#VALUE!</v>
      </c>
      <c r="K4" t="e">
        <f>LN(I4)</f>
        <v>#VALUE!</v>
      </c>
      <c r="L4">
        <f>1/B4</f>
        <v>3.4129692832764505E-3</v>
      </c>
    </row>
    <row r="5" spans="1:12" x14ac:dyDescent="0.3">
      <c r="A5">
        <v>20</v>
      </c>
      <c r="B5">
        <f t="shared" si="0"/>
        <v>293</v>
      </c>
      <c r="C5">
        <v>1.26</v>
      </c>
      <c r="D5">
        <v>2.5</v>
      </c>
      <c r="E5" t="s">
        <v>14</v>
      </c>
      <c r="F5">
        <v>94</v>
      </c>
      <c r="G5">
        <v>20</v>
      </c>
      <c r="H5">
        <f t="shared" si="1"/>
        <v>0.21276595744680851</v>
      </c>
      <c r="I5" t="e">
        <f t="shared" ref="I5:I7" si="2">E5*E5*(D5-C5)/H5</f>
        <v>#VALUE!</v>
      </c>
      <c r="K5" t="e">
        <f t="shared" ref="K5:K21" si="3">LN(I5)</f>
        <v>#VALUE!</v>
      </c>
      <c r="L5">
        <f t="shared" ref="L5:L21" si="4">1/B5</f>
        <v>3.4129692832764505E-3</v>
      </c>
    </row>
    <row r="6" spans="1:12" x14ac:dyDescent="0.3">
      <c r="A6">
        <v>20</v>
      </c>
      <c r="B6">
        <f t="shared" si="0"/>
        <v>293</v>
      </c>
      <c r="C6">
        <v>1.26</v>
      </c>
      <c r="D6">
        <v>7.8</v>
      </c>
      <c r="E6" s="1">
        <v>1.01</v>
      </c>
      <c r="F6">
        <v>74</v>
      </c>
      <c r="G6">
        <v>20</v>
      </c>
      <c r="H6">
        <f t="shared" si="1"/>
        <v>0.27027027027027029</v>
      </c>
      <c r="I6">
        <f t="shared" si="2"/>
        <v>24.684379799999999</v>
      </c>
      <c r="K6">
        <f t="shared" si="3"/>
        <v>3.2061706468256221</v>
      </c>
      <c r="L6">
        <f t="shared" si="4"/>
        <v>3.4129692832764505E-3</v>
      </c>
    </row>
    <row r="7" spans="1:12" x14ac:dyDescent="0.3">
      <c r="A7">
        <v>20</v>
      </c>
      <c r="B7">
        <f t="shared" si="0"/>
        <v>293</v>
      </c>
      <c r="C7">
        <v>1.26</v>
      </c>
      <c r="D7">
        <v>7.8</v>
      </c>
      <c r="E7">
        <v>1</v>
      </c>
      <c r="F7">
        <v>80</v>
      </c>
      <c r="G7">
        <v>20</v>
      </c>
      <c r="H7">
        <f t="shared" si="1"/>
        <v>0.25</v>
      </c>
      <c r="I7">
        <f t="shared" si="2"/>
        <v>26.16</v>
      </c>
      <c r="K7">
        <f t="shared" si="3"/>
        <v>3.2642315265889978</v>
      </c>
      <c r="L7">
        <f t="shared" si="4"/>
        <v>3.4129692832764505E-3</v>
      </c>
    </row>
    <row r="8" spans="1:12" x14ac:dyDescent="0.3">
      <c r="A8">
        <v>25</v>
      </c>
      <c r="B8">
        <f>A8+273</f>
        <v>298</v>
      </c>
      <c r="C8">
        <v>1.26</v>
      </c>
      <c r="D8">
        <v>2.5</v>
      </c>
      <c r="E8">
        <v>0.27</v>
      </c>
      <c r="F8">
        <v>82</v>
      </c>
      <c r="G8">
        <v>20</v>
      </c>
      <c r="H8">
        <f t="shared" ref="H8:H9" si="5">G8/F8</f>
        <v>0.24390243902439024</v>
      </c>
      <c r="I8">
        <f t="shared" ref="I8:I9" si="6">E8*E8*(D8-C8)/H8</f>
        <v>0.3706236</v>
      </c>
      <c r="K8">
        <f t="shared" si="3"/>
        <v>-0.99256828664031693</v>
      </c>
      <c r="L8">
        <f t="shared" si="4"/>
        <v>3.3557046979865771E-3</v>
      </c>
    </row>
    <row r="9" spans="1:12" x14ac:dyDescent="0.3">
      <c r="A9">
        <v>25</v>
      </c>
      <c r="B9">
        <f>A9+273</f>
        <v>298</v>
      </c>
      <c r="C9">
        <v>1.26</v>
      </c>
      <c r="D9">
        <v>2.5</v>
      </c>
      <c r="E9">
        <v>0.28000000000000003</v>
      </c>
      <c r="F9">
        <v>62</v>
      </c>
      <c r="G9">
        <v>20</v>
      </c>
      <c r="H9">
        <f t="shared" si="5"/>
        <v>0.32258064516129031</v>
      </c>
      <c r="I9">
        <f t="shared" si="6"/>
        <v>0.30136960000000002</v>
      </c>
      <c r="K9">
        <f t="shared" si="3"/>
        <v>-1.1994178605177288</v>
      </c>
      <c r="L9">
        <f t="shared" si="4"/>
        <v>3.3557046979865771E-3</v>
      </c>
    </row>
    <row r="10" spans="1:12" x14ac:dyDescent="0.3">
      <c r="A10">
        <v>25</v>
      </c>
      <c r="B10">
        <f>A10+273</f>
        <v>298</v>
      </c>
      <c r="C10">
        <v>1.26</v>
      </c>
      <c r="D10">
        <v>2.5</v>
      </c>
      <c r="E10">
        <v>1.02</v>
      </c>
      <c r="F10">
        <v>60</v>
      </c>
      <c r="G10">
        <v>20</v>
      </c>
      <c r="H10">
        <f t="shared" ref="H10:H11" si="7">G10/F10</f>
        <v>0.33333333333333331</v>
      </c>
      <c r="I10">
        <f t="shared" ref="I10:I11" si="8">E10*E10*(D10-C10)/H10</f>
        <v>3.870288</v>
      </c>
      <c r="K10">
        <f t="shared" si="3"/>
        <v>1.3533289228774146</v>
      </c>
      <c r="L10">
        <f t="shared" si="4"/>
        <v>3.3557046979865771E-3</v>
      </c>
    </row>
    <row r="11" spans="1:12" x14ac:dyDescent="0.3">
      <c r="A11">
        <v>25</v>
      </c>
      <c r="B11">
        <f>A11+273</f>
        <v>298</v>
      </c>
      <c r="C11">
        <v>1.26</v>
      </c>
      <c r="D11">
        <v>7.8</v>
      </c>
      <c r="E11">
        <v>1.04</v>
      </c>
      <c r="F11">
        <v>44</v>
      </c>
      <c r="G11">
        <v>20</v>
      </c>
      <c r="H11">
        <f t="shared" si="7"/>
        <v>0.45454545454545453</v>
      </c>
      <c r="I11">
        <f t="shared" si="8"/>
        <v>15.562060800000003</v>
      </c>
      <c r="K11">
        <f t="shared" si="3"/>
        <v>2.7448359521399404</v>
      </c>
      <c r="L11">
        <f t="shared" si="4"/>
        <v>3.3557046979865771E-3</v>
      </c>
    </row>
    <row r="12" spans="1:12" x14ac:dyDescent="0.3">
      <c r="A12">
        <v>30</v>
      </c>
      <c r="B12">
        <f>A12+273</f>
        <v>303</v>
      </c>
      <c r="C12">
        <v>1.26</v>
      </c>
      <c r="D12">
        <v>7.8</v>
      </c>
      <c r="E12">
        <v>1.03</v>
      </c>
      <c r="F12">
        <v>34</v>
      </c>
      <c r="G12">
        <v>20</v>
      </c>
      <c r="H12">
        <f>G12/F12</f>
        <v>0.58823529411764708</v>
      </c>
      <c r="I12">
        <f>E12*E12*(D12-C12)/H12</f>
        <v>11.795086199999998</v>
      </c>
      <c r="K12">
        <f t="shared" si="3"/>
        <v>2.4676830210143663</v>
      </c>
      <c r="L12">
        <f t="shared" si="4"/>
        <v>3.3003300330033004E-3</v>
      </c>
    </row>
    <row r="13" spans="1:12" x14ac:dyDescent="0.3">
      <c r="A13">
        <v>30</v>
      </c>
      <c r="B13">
        <f>A13+273</f>
        <v>303</v>
      </c>
      <c r="C13">
        <v>1.26</v>
      </c>
      <c r="D13">
        <v>2.5</v>
      </c>
      <c r="E13">
        <v>1</v>
      </c>
      <c r="F13">
        <v>36</v>
      </c>
      <c r="G13">
        <v>20</v>
      </c>
      <c r="H13">
        <f>G13/F13</f>
        <v>0.55555555555555558</v>
      </c>
      <c r="I13">
        <f t="shared" ref="I13:I20" si="9">E13*E13*(D13-C13)/H13</f>
        <v>2.2319999999999998</v>
      </c>
      <c r="K13">
        <f t="shared" si="3"/>
        <v>0.80289804451906444</v>
      </c>
      <c r="L13">
        <f t="shared" si="4"/>
        <v>3.3003300330033004E-3</v>
      </c>
    </row>
    <row r="14" spans="1:12" x14ac:dyDescent="0.3">
      <c r="A14">
        <v>30</v>
      </c>
      <c r="B14">
        <f>A14+273</f>
        <v>303</v>
      </c>
      <c r="C14">
        <v>1.26</v>
      </c>
      <c r="D14">
        <v>2.5</v>
      </c>
      <c r="E14">
        <v>0.1</v>
      </c>
      <c r="F14">
        <v>36</v>
      </c>
      <c r="G14">
        <v>20</v>
      </c>
      <c r="H14">
        <f t="shared" ref="H14:H20" si="10">G14/F14</f>
        <v>0.55555555555555558</v>
      </c>
      <c r="I14">
        <f t="shared" si="9"/>
        <v>2.2320000000000003E-2</v>
      </c>
      <c r="K14">
        <f t="shared" si="3"/>
        <v>-3.8022721414690266</v>
      </c>
      <c r="L14">
        <f t="shared" si="4"/>
        <v>3.3003300330033004E-3</v>
      </c>
    </row>
    <row r="15" spans="1:12" x14ac:dyDescent="0.3">
      <c r="A15">
        <v>30</v>
      </c>
      <c r="B15">
        <f>A15+273</f>
        <v>303</v>
      </c>
      <c r="C15">
        <v>1.26</v>
      </c>
      <c r="D15">
        <v>7.8</v>
      </c>
      <c r="E15">
        <v>0.41</v>
      </c>
      <c r="F15">
        <v>40</v>
      </c>
      <c r="G15">
        <v>20</v>
      </c>
      <c r="H15">
        <f t="shared" si="10"/>
        <v>0.5</v>
      </c>
      <c r="I15">
        <f t="shared" si="9"/>
        <v>2.1987479999999997</v>
      </c>
      <c r="K15">
        <f t="shared" si="3"/>
        <v>0.78788810746148541</v>
      </c>
      <c r="L15">
        <f t="shared" si="4"/>
        <v>3.3003300330033004E-3</v>
      </c>
    </row>
    <row r="16" spans="1:12" x14ac:dyDescent="0.3">
      <c r="A16">
        <v>35</v>
      </c>
      <c r="B16">
        <f>A16+273</f>
        <v>308</v>
      </c>
      <c r="C16">
        <v>1.26</v>
      </c>
      <c r="D16">
        <v>7.8</v>
      </c>
      <c r="E16">
        <v>1.02</v>
      </c>
      <c r="F16">
        <v>26</v>
      </c>
      <c r="G16">
        <v>20</v>
      </c>
      <c r="H16">
        <f t="shared" si="10"/>
        <v>0.76923076923076927</v>
      </c>
      <c r="I16">
        <f t="shared" si="9"/>
        <v>8.8454808000000007</v>
      </c>
      <c r="K16">
        <f t="shared" si="3"/>
        <v>2.1799066845289579</v>
      </c>
      <c r="L16">
        <f t="shared" si="4"/>
        <v>3.246753246753247E-3</v>
      </c>
    </row>
    <row r="17" spans="1:12" x14ac:dyDescent="0.3">
      <c r="A17">
        <v>35</v>
      </c>
      <c r="B17">
        <f>A17+273</f>
        <v>308</v>
      </c>
      <c r="C17">
        <v>1.26</v>
      </c>
      <c r="D17">
        <v>2.5</v>
      </c>
      <c r="E17">
        <v>0.99</v>
      </c>
      <c r="F17">
        <v>26</v>
      </c>
      <c r="G17">
        <v>20</v>
      </c>
      <c r="H17">
        <f t="shared" si="10"/>
        <v>0.76923076923076927</v>
      </c>
      <c r="I17">
        <f t="shared" si="9"/>
        <v>1.5799211999999998</v>
      </c>
      <c r="K17">
        <f t="shared" si="3"/>
        <v>0.45737497237743352</v>
      </c>
      <c r="L17">
        <f t="shared" si="4"/>
        <v>3.246753246753247E-3</v>
      </c>
    </row>
    <row r="18" spans="1:12" x14ac:dyDescent="0.3">
      <c r="A18">
        <v>35</v>
      </c>
      <c r="B18">
        <f>A18+273</f>
        <v>308</v>
      </c>
      <c r="C18">
        <v>1.26</v>
      </c>
      <c r="D18">
        <v>2.5</v>
      </c>
      <c r="E18">
        <v>0.34</v>
      </c>
      <c r="F18">
        <v>34</v>
      </c>
      <c r="G18">
        <v>20</v>
      </c>
      <c r="H18">
        <f t="shared" si="10"/>
        <v>0.58823529411764708</v>
      </c>
      <c r="I18">
        <f t="shared" si="9"/>
        <v>0.24368480000000003</v>
      </c>
      <c r="K18">
        <f t="shared" si="3"/>
        <v>-1.4118796920647438</v>
      </c>
      <c r="L18">
        <f t="shared" si="4"/>
        <v>3.246753246753247E-3</v>
      </c>
    </row>
    <row r="19" spans="1:12" x14ac:dyDescent="0.3">
      <c r="A19">
        <v>35</v>
      </c>
      <c r="B19">
        <f>A19+273</f>
        <v>308</v>
      </c>
      <c r="C19">
        <v>1.26</v>
      </c>
      <c r="D19">
        <v>7.8</v>
      </c>
      <c r="E19">
        <v>0.49</v>
      </c>
      <c r="F19">
        <v>24</v>
      </c>
      <c r="G19">
        <v>20</v>
      </c>
      <c r="H19">
        <f t="shared" si="10"/>
        <v>0.83333333333333337</v>
      </c>
      <c r="I19">
        <f t="shared" si="9"/>
        <v>1.8843047999999998</v>
      </c>
      <c r="K19">
        <f t="shared" si="3"/>
        <v>0.63355894650813238</v>
      </c>
      <c r="L19">
        <f t="shared" si="4"/>
        <v>3.246753246753247E-3</v>
      </c>
    </row>
    <row r="20" spans="1:12" x14ac:dyDescent="0.3">
      <c r="A20">
        <v>40</v>
      </c>
      <c r="B20">
        <f>A20+273</f>
        <v>313</v>
      </c>
      <c r="C20">
        <v>1.26</v>
      </c>
      <c r="D20">
        <v>7.8</v>
      </c>
      <c r="E20">
        <v>1.06</v>
      </c>
      <c r="F20">
        <v>14</v>
      </c>
      <c r="G20">
        <v>20</v>
      </c>
      <c r="H20">
        <f t="shared" si="10"/>
        <v>1.4285714285714286</v>
      </c>
      <c r="I20">
        <f t="shared" si="9"/>
        <v>5.1438408000000004</v>
      </c>
      <c r="K20">
        <f t="shared" si="3"/>
        <v>1.6378000377783266</v>
      </c>
      <c r="L20">
        <f t="shared" si="4"/>
        <v>3.1948881789137379E-3</v>
      </c>
    </row>
    <row r="21" spans="1:12" x14ac:dyDescent="0.3">
      <c r="A21">
        <v>40</v>
      </c>
      <c r="B21">
        <f>A21+273</f>
        <v>313</v>
      </c>
      <c r="C21">
        <v>1.26</v>
      </c>
      <c r="D21">
        <v>2.5</v>
      </c>
      <c r="E21">
        <v>0.76</v>
      </c>
      <c r="F21">
        <v>16</v>
      </c>
      <c r="G21">
        <v>20</v>
      </c>
      <c r="H21">
        <f t="shared" ref="H21:H28" si="11">G21/F21</f>
        <v>1.25</v>
      </c>
      <c r="I21">
        <f t="shared" ref="I21:I28" si="12">E21*E21*(D21-C21)/H21</f>
        <v>0.57297920000000002</v>
      </c>
      <c r="K21">
        <f t="shared" si="3"/>
        <v>-0.55690586310078483</v>
      </c>
      <c r="L21">
        <f t="shared" si="4"/>
        <v>3.1948881789137379E-3</v>
      </c>
    </row>
    <row r="22" spans="1:12" x14ac:dyDescent="0.3">
      <c r="A22">
        <v>40</v>
      </c>
      <c r="B22">
        <f>A22+273</f>
        <v>313</v>
      </c>
      <c r="C22">
        <v>1.26</v>
      </c>
      <c r="D22">
        <v>2.5</v>
      </c>
      <c r="E22">
        <v>0.37</v>
      </c>
      <c r="F22">
        <v>24</v>
      </c>
      <c r="G22">
        <v>20</v>
      </c>
      <c r="H22">
        <f t="shared" si="11"/>
        <v>0.83333333333333337</v>
      </c>
      <c r="I22">
        <f t="shared" si="12"/>
        <v>0.20370719999999998</v>
      </c>
    </row>
    <row r="23" spans="1:12" x14ac:dyDescent="0.3">
      <c r="A23">
        <v>40</v>
      </c>
      <c r="B23">
        <f>A23+273</f>
        <v>313</v>
      </c>
      <c r="C23">
        <v>1.26</v>
      </c>
      <c r="D23">
        <v>7.8</v>
      </c>
      <c r="E23">
        <v>0.43</v>
      </c>
      <c r="F23">
        <v>26</v>
      </c>
      <c r="G23">
        <v>20</v>
      </c>
      <c r="H23">
        <f t="shared" si="11"/>
        <v>0.76923076923076927</v>
      </c>
      <c r="I23">
        <f t="shared" si="12"/>
        <v>1.5720197999999996</v>
      </c>
    </row>
    <row r="24" spans="1:12" x14ac:dyDescent="0.3">
      <c r="A24">
        <v>40</v>
      </c>
      <c r="B24">
        <f>A24+273</f>
        <v>313</v>
      </c>
      <c r="C24">
        <v>1.26</v>
      </c>
      <c r="D24">
        <v>7.8</v>
      </c>
      <c r="E24">
        <v>0.7</v>
      </c>
      <c r="G24">
        <v>22.2</v>
      </c>
      <c r="H24" t="e">
        <f t="shared" si="11"/>
        <v>#DIV/0!</v>
      </c>
      <c r="I24" t="e">
        <f t="shared" si="12"/>
        <v>#DIV/0!</v>
      </c>
    </row>
    <row r="25" spans="1:12" x14ac:dyDescent="0.3">
      <c r="A25">
        <v>45</v>
      </c>
      <c r="B25">
        <f>A25+273</f>
        <v>318</v>
      </c>
      <c r="C25">
        <v>1.26</v>
      </c>
      <c r="D25">
        <v>2.5</v>
      </c>
      <c r="E25">
        <v>2.1</v>
      </c>
      <c r="G25">
        <v>22.2</v>
      </c>
      <c r="H25" t="e">
        <f t="shared" si="11"/>
        <v>#DIV/0!</v>
      </c>
      <c r="I25" t="e">
        <f t="shared" si="12"/>
        <v>#DIV/0!</v>
      </c>
    </row>
    <row r="26" spans="1:12" x14ac:dyDescent="0.3">
      <c r="A26">
        <v>45</v>
      </c>
      <c r="B26">
        <f>A26+273</f>
        <v>318</v>
      </c>
      <c r="C26">
        <v>1.26</v>
      </c>
      <c r="D26">
        <v>2.5</v>
      </c>
      <c r="E26">
        <v>2</v>
      </c>
      <c r="G26">
        <v>22.2</v>
      </c>
      <c r="H26" t="e">
        <f t="shared" si="11"/>
        <v>#DIV/0!</v>
      </c>
      <c r="I26" t="e">
        <f t="shared" si="12"/>
        <v>#DIV/0!</v>
      </c>
    </row>
    <row r="27" spans="1:12" x14ac:dyDescent="0.3">
      <c r="A27">
        <v>45</v>
      </c>
      <c r="B27">
        <f>A27+273</f>
        <v>318</v>
      </c>
      <c r="C27">
        <v>1.26</v>
      </c>
      <c r="D27">
        <v>7.8</v>
      </c>
      <c r="E27">
        <v>0.9</v>
      </c>
      <c r="G27">
        <v>22.2</v>
      </c>
      <c r="H27" t="e">
        <f t="shared" si="11"/>
        <v>#DIV/0!</v>
      </c>
      <c r="I27" t="e">
        <f t="shared" si="12"/>
        <v>#DIV/0!</v>
      </c>
    </row>
    <row r="28" spans="1:12" x14ac:dyDescent="0.3">
      <c r="A28">
        <v>45</v>
      </c>
      <c r="B28">
        <f>A28+273</f>
        <v>318</v>
      </c>
      <c r="C28">
        <v>1.26</v>
      </c>
      <c r="D28">
        <v>7.8</v>
      </c>
      <c r="E28">
        <v>0.9</v>
      </c>
      <c r="G28">
        <v>22.2</v>
      </c>
      <c r="H28" t="e">
        <f t="shared" si="11"/>
        <v>#DIV/0!</v>
      </c>
      <c r="I28" t="e">
        <f t="shared" si="12"/>
        <v>#DIV/0!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295C-F1DE-4876-91E2-10D1067CC1F9}">
  <dimension ref="A1:B2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f>11</f>
        <v>11</v>
      </c>
      <c r="B2">
        <f>11.2</f>
        <v>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2025-04-15T10:55:11Z</dcterms:created>
  <dcterms:modified xsi:type="dcterms:W3CDTF">2025-04-15T17:20:14Z</dcterms:modified>
</cp:coreProperties>
</file>