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Thermadinamics\Lab_phys_2.2.6\"/>
    </mc:Choice>
  </mc:AlternateContent>
  <xr:revisionPtr revIDLastSave="0" documentId="13_ncr:1_{10241709-FF49-459B-B9BC-15679AEE343E}" xr6:coauthVersionLast="47" xr6:coauthVersionMax="47" xr10:uidLastSave="{00000000-0000-0000-0000-000000000000}"/>
  <bookViews>
    <workbookView xWindow="-108" yWindow="-108" windowWidth="23256" windowHeight="12576" xr2:uid="{811903C8-4570-4DA3-8FC1-78000249F3FF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4" i="1"/>
  <c r="F25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1" i="1"/>
  <c r="G4" i="1"/>
  <c r="G5" i="1"/>
  <c r="G6" i="1"/>
  <c r="G7" i="1"/>
  <c r="E6" i="1"/>
  <c r="G3" i="1"/>
  <c r="H3" i="1" s="1"/>
  <c r="B4" i="1"/>
  <c r="B5" i="1"/>
  <c r="B6" i="1"/>
  <c r="B7" i="1"/>
  <c r="B8" i="1"/>
  <c r="B9" i="1"/>
  <c r="B10" i="1"/>
  <c r="B12" i="1"/>
  <c r="B13" i="1"/>
  <c r="G2" i="1"/>
  <c r="H2" i="1" s="1"/>
  <c r="B2" i="2"/>
  <c r="A2" i="2"/>
</calcChain>
</file>

<file path=xl/sharedStrings.xml><?xml version="1.0" encoding="utf-8"?>
<sst xmlns="http://schemas.openxmlformats.org/spreadsheetml/2006/main" count="11" uniqueCount="11">
  <si>
    <t>Temp</t>
  </si>
  <si>
    <t>Tk</t>
  </si>
  <si>
    <t>rho</t>
  </si>
  <si>
    <t>vust</t>
  </si>
  <si>
    <t>l1</t>
  </si>
  <si>
    <t>l2</t>
  </si>
  <si>
    <t>T</t>
  </si>
  <si>
    <t>l</t>
  </si>
  <si>
    <t>rho_gl</t>
  </si>
  <si>
    <t>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</si>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</sst>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0B65-D892-4E07-9F8B-B4EC847F6E18}">
  <dimension ref="A1:I29"/>
  <sheetViews>
    <sheetView tabSelected="1" topLeftCell="A2" workbookViewId="0">
      <selection activeCell="M26" sqref="M26"/>
    </sheetView>
  </sheetViews>
  <sheetFormatPr defaultRowHeight="14.4" x14ac:dyDescent="0.3"/>
  <cols>
    <col min="9" max="9" width="12" bestFit="1" customWidth="1"/>
  </cols>
  <sheetData>
    <row r="1" spans="1:9" x14ac:dyDescent="0.3">
      <c r="A1" t="s">
        <v>0</v>
      </c>
      <c r="B1" t="s">
        <v>1</v>
      </c>
      <c r="C1" t="s">
        <v>8</v>
      </c>
      <c r="D1" t="s">
        <v>2</v>
      </c>
      <c r="E1" t="s">
        <v>10</v>
      </c>
      <c r="F1" t="s">
        <v>6</v>
      </c>
      <c r="G1" t="s">
        <v>7</v>
      </c>
      <c r="H1" t="s">
        <v>3</v>
      </c>
      <c r="I1" t="s">
        <v>9</v>
      </c>
    </row>
    <row r="2" spans="1:9" x14ac:dyDescent="0.3">
      <c r="B2">
        <v>293</v>
      </c>
      <c r="D2">
        <v>2.5</v>
      </c>
      <c r="F2">
        <v>66.66</v>
      </c>
      <c r="G2">
        <f>Лист2!$A$2+Лист2!$B$2</f>
        <v>22.2</v>
      </c>
      <c r="H2">
        <f>G2/100/F2</f>
        <v>3.3303330333033306E-3</v>
      </c>
    </row>
    <row r="3" spans="1:9" x14ac:dyDescent="0.3">
      <c r="B3">
        <v>293</v>
      </c>
      <c r="F3">
        <v>67.5</v>
      </c>
      <c r="G3">
        <f>Лист2!$A$2+Лист2!$B$2</f>
        <v>22.2</v>
      </c>
      <c r="H3">
        <f t="shared" ref="H3:H29" si="0">G3/100/F3</f>
        <v>3.2888888888888889E-3</v>
      </c>
    </row>
    <row r="4" spans="1:9" x14ac:dyDescent="0.3">
      <c r="A4">
        <v>20</v>
      </c>
      <c r="B4">
        <f t="shared" ref="B4:B11" si="1">A4+273</f>
        <v>293</v>
      </c>
      <c r="C4">
        <v>1.26</v>
      </c>
      <c r="D4">
        <v>2.5</v>
      </c>
      <c r="E4">
        <v>2.1</v>
      </c>
      <c r="F4">
        <v>68.28</v>
      </c>
      <c r="G4">
        <f>Лист2!$A$2+Лист2!$B$2</f>
        <v>22.2</v>
      </c>
      <c r="H4">
        <f>G4/100/F4</f>
        <v>3.2513181019332162E-3</v>
      </c>
      <c r="I4">
        <f>E4/2000*E4/2000*(D4-C4)*1000/H4*2/9*9.81</f>
        <v>0.91663685513513538</v>
      </c>
    </row>
    <row r="5" spans="1:9" x14ac:dyDescent="0.3">
      <c r="A5">
        <v>20</v>
      </c>
      <c r="B5">
        <f t="shared" si="1"/>
        <v>293</v>
      </c>
      <c r="C5">
        <v>1.26</v>
      </c>
      <c r="D5">
        <v>2.5</v>
      </c>
      <c r="E5">
        <v>2.1</v>
      </c>
      <c r="F5">
        <v>68.63</v>
      </c>
      <c r="G5">
        <f>Лист2!$A$2+Лист2!$B$2</f>
        <v>22.2</v>
      </c>
      <c r="H5">
        <f t="shared" ref="H5:H29" si="2">G5/100/F5</f>
        <v>3.2347369954830252E-3</v>
      </c>
      <c r="I5">
        <f t="shared" ref="I5:I29" si="3">E5/2000*E5/2000*(D5-C5)*1000/H5*2/9*9.81</f>
        <v>0.92133549162162176</v>
      </c>
    </row>
    <row r="6" spans="1:9" x14ac:dyDescent="0.3">
      <c r="A6">
        <v>20</v>
      </c>
      <c r="B6">
        <f t="shared" si="1"/>
        <v>293</v>
      </c>
      <c r="C6">
        <v>1.26</v>
      </c>
      <c r="D6">
        <v>7.8</v>
      </c>
      <c r="E6">
        <f>0.5+3*0.1</f>
        <v>0.8</v>
      </c>
      <c r="F6">
        <v>90.31</v>
      </c>
      <c r="G6">
        <f>Лист2!$A$2+Лист2!$B$2</f>
        <v>22.2</v>
      </c>
      <c r="H6">
        <f t="shared" si="2"/>
        <v>2.4581995349352232E-3</v>
      </c>
      <c r="I6">
        <f t="shared" si="3"/>
        <v>0.92797674378378392</v>
      </c>
    </row>
    <row r="7" spans="1:9" x14ac:dyDescent="0.3">
      <c r="A7">
        <v>20</v>
      </c>
      <c r="B7">
        <f t="shared" si="1"/>
        <v>293</v>
      </c>
      <c r="C7">
        <v>1.26</v>
      </c>
      <c r="D7">
        <v>7.8</v>
      </c>
      <c r="E7">
        <v>0.7</v>
      </c>
      <c r="F7">
        <v>118.62</v>
      </c>
      <c r="G7">
        <f>Лист2!$A$2+Лист2!$B$2</f>
        <v>22.2</v>
      </c>
      <c r="H7">
        <f t="shared" si="2"/>
        <v>1.8715225088517956E-3</v>
      </c>
      <c r="I7">
        <f t="shared" si="3"/>
        <v>0.93320117270270275</v>
      </c>
    </row>
    <row r="8" spans="1:9" x14ac:dyDescent="0.3">
      <c r="A8">
        <v>20</v>
      </c>
      <c r="B8">
        <f t="shared" si="1"/>
        <v>293</v>
      </c>
      <c r="C8">
        <v>1.26</v>
      </c>
      <c r="D8">
        <v>7.8</v>
      </c>
      <c r="E8">
        <v>0.7</v>
      </c>
      <c r="F8">
        <v>60.4</v>
      </c>
      <c r="G8">
        <v>11</v>
      </c>
      <c r="H8">
        <f t="shared" si="2"/>
        <v>1.8211920529801326E-3</v>
      </c>
      <c r="I8">
        <f t="shared" si="3"/>
        <v>0.95899111636363621</v>
      </c>
    </row>
    <row r="9" spans="1:9" x14ac:dyDescent="0.3">
      <c r="A9">
        <v>25</v>
      </c>
      <c r="B9">
        <f t="shared" si="1"/>
        <v>298</v>
      </c>
      <c r="C9">
        <v>1.26</v>
      </c>
      <c r="D9">
        <v>2.5</v>
      </c>
      <c r="E9">
        <v>2.1</v>
      </c>
      <c r="F9">
        <v>42.88</v>
      </c>
      <c r="G9">
        <v>22.2</v>
      </c>
      <c r="H9">
        <f t="shared" si="2"/>
        <v>5.1772388059701489E-3</v>
      </c>
      <c r="I9">
        <f t="shared" si="3"/>
        <v>0.57565009297297309</v>
      </c>
    </row>
    <row r="10" spans="1:9" x14ac:dyDescent="0.3">
      <c r="A10">
        <v>25</v>
      </c>
      <c r="B10">
        <f t="shared" si="1"/>
        <v>298</v>
      </c>
      <c r="C10">
        <v>1.26</v>
      </c>
      <c r="D10">
        <v>2.5</v>
      </c>
      <c r="E10">
        <v>2</v>
      </c>
      <c r="F10">
        <v>49.14</v>
      </c>
      <c r="G10">
        <v>22.2</v>
      </c>
      <c r="H10">
        <f t="shared" si="2"/>
        <v>4.5177045177045181E-3</v>
      </c>
      <c r="I10">
        <f t="shared" si="3"/>
        <v>0.59835697297297297</v>
      </c>
    </row>
    <row r="11" spans="1:9" x14ac:dyDescent="0.3">
      <c r="A11">
        <v>25</v>
      </c>
      <c r="B11">
        <f t="shared" si="1"/>
        <v>298</v>
      </c>
      <c r="C11">
        <v>1.26</v>
      </c>
      <c r="D11">
        <v>2.5</v>
      </c>
      <c r="E11">
        <v>2</v>
      </c>
      <c r="F11">
        <v>46.72</v>
      </c>
      <c r="G11">
        <v>22.2</v>
      </c>
      <c r="H11">
        <f t="shared" si="2"/>
        <v>4.7517123287671237E-3</v>
      </c>
      <c r="I11">
        <f t="shared" si="3"/>
        <v>0.56888965765765764</v>
      </c>
    </row>
    <row r="12" spans="1:9" x14ac:dyDescent="0.3">
      <c r="A12">
        <v>25</v>
      </c>
      <c r="B12">
        <f t="shared" ref="B12:B29" si="4">A12+273</f>
        <v>298</v>
      </c>
      <c r="C12">
        <v>1.26</v>
      </c>
      <c r="D12">
        <v>7.8</v>
      </c>
      <c r="E12">
        <v>0.7</v>
      </c>
      <c r="F12">
        <v>37</v>
      </c>
      <c r="G12">
        <v>11.2</v>
      </c>
      <c r="H12">
        <f t="shared" si="2"/>
        <v>3.0270270270270267E-3</v>
      </c>
      <c r="I12">
        <f t="shared" si="3"/>
        <v>0.57697106250000008</v>
      </c>
    </row>
    <row r="13" spans="1:9" x14ac:dyDescent="0.3">
      <c r="A13">
        <v>25</v>
      </c>
      <c r="B13">
        <f t="shared" si="4"/>
        <v>298</v>
      </c>
      <c r="C13">
        <v>1.26</v>
      </c>
      <c r="D13">
        <v>7.8</v>
      </c>
      <c r="E13">
        <v>0.85</v>
      </c>
      <c r="F13">
        <v>25.7</v>
      </c>
      <c r="G13">
        <v>11</v>
      </c>
      <c r="H13">
        <f t="shared" si="2"/>
        <v>4.2801556420233467E-3</v>
      </c>
      <c r="I13">
        <f t="shared" si="3"/>
        <v>0.60166194068181822</v>
      </c>
    </row>
    <row r="14" spans="1:9" x14ac:dyDescent="0.3">
      <c r="A14">
        <v>30</v>
      </c>
      <c r="B14">
        <f t="shared" si="4"/>
        <v>303</v>
      </c>
      <c r="C14">
        <v>1.26</v>
      </c>
      <c r="D14">
        <v>2.5</v>
      </c>
      <c r="E14">
        <v>2.1</v>
      </c>
      <c r="F14">
        <v>32.82</v>
      </c>
      <c r="G14">
        <v>22.2</v>
      </c>
      <c r="H14">
        <f t="shared" si="2"/>
        <v>6.7641681901279707E-3</v>
      </c>
      <c r="I14">
        <f t="shared" si="3"/>
        <v>0.44059785567567583</v>
      </c>
    </row>
    <row r="15" spans="1:9" x14ac:dyDescent="0.3">
      <c r="A15">
        <v>30</v>
      </c>
      <c r="B15">
        <f t="shared" si="4"/>
        <v>303</v>
      </c>
      <c r="C15">
        <v>1.26</v>
      </c>
      <c r="D15">
        <v>2.5</v>
      </c>
      <c r="E15">
        <v>2.1</v>
      </c>
      <c r="F15">
        <v>32.299999999999997</v>
      </c>
      <c r="G15">
        <v>22.2</v>
      </c>
      <c r="H15">
        <f t="shared" si="2"/>
        <v>6.8730650154798772E-3</v>
      </c>
      <c r="I15">
        <f t="shared" si="3"/>
        <v>0.43361702432432431</v>
      </c>
    </row>
    <row r="16" spans="1:9" x14ac:dyDescent="0.3">
      <c r="A16">
        <v>30</v>
      </c>
      <c r="B16">
        <f t="shared" si="4"/>
        <v>303</v>
      </c>
      <c r="C16">
        <v>1.26</v>
      </c>
      <c r="D16">
        <v>7.8</v>
      </c>
      <c r="E16">
        <v>0.8</v>
      </c>
      <c r="F16">
        <v>39.75</v>
      </c>
      <c r="G16">
        <v>22.2</v>
      </c>
      <c r="H16">
        <f t="shared" si="2"/>
        <v>5.584905660377359E-3</v>
      </c>
      <c r="I16">
        <f t="shared" si="3"/>
        <v>0.40844951351351355</v>
      </c>
    </row>
    <row r="17" spans="1:9" x14ac:dyDescent="0.3">
      <c r="A17">
        <v>30</v>
      </c>
      <c r="B17">
        <f t="shared" si="4"/>
        <v>303</v>
      </c>
      <c r="C17">
        <v>1.26</v>
      </c>
      <c r="D17">
        <v>7.8</v>
      </c>
      <c r="E17">
        <v>0.9</v>
      </c>
      <c r="F17">
        <v>33.31</v>
      </c>
      <c r="G17">
        <v>22.2</v>
      </c>
      <c r="H17">
        <f t="shared" si="2"/>
        <v>6.6646652656859795E-3</v>
      </c>
      <c r="I17">
        <f t="shared" si="3"/>
        <v>0.43319249878378385</v>
      </c>
    </row>
    <row r="18" spans="1:9" x14ac:dyDescent="0.3">
      <c r="A18">
        <v>35</v>
      </c>
      <c r="B18">
        <f t="shared" si="4"/>
        <v>308</v>
      </c>
      <c r="C18">
        <v>1.26</v>
      </c>
      <c r="D18">
        <v>2.5</v>
      </c>
      <c r="E18">
        <v>2</v>
      </c>
      <c r="F18">
        <v>21.93</v>
      </c>
      <c r="G18">
        <v>22.2</v>
      </c>
      <c r="H18">
        <f t="shared" si="2"/>
        <v>1.0123119015047879E-2</v>
      </c>
      <c r="I18">
        <f t="shared" si="3"/>
        <v>0.26703232432432439</v>
      </c>
    </row>
    <row r="19" spans="1:9" x14ac:dyDescent="0.3">
      <c r="A19">
        <v>35</v>
      </c>
      <c r="B19">
        <f t="shared" si="4"/>
        <v>308</v>
      </c>
      <c r="C19">
        <v>1.26</v>
      </c>
      <c r="D19">
        <v>2.5</v>
      </c>
      <c r="E19">
        <v>2</v>
      </c>
      <c r="F19">
        <v>22.5</v>
      </c>
      <c r="G19">
        <v>22.2</v>
      </c>
      <c r="H19">
        <f t="shared" si="2"/>
        <v>9.8666666666666659E-3</v>
      </c>
      <c r="I19">
        <f t="shared" si="3"/>
        <v>0.27397297297297307</v>
      </c>
    </row>
    <row r="20" spans="1:9" x14ac:dyDescent="0.3">
      <c r="A20">
        <v>35</v>
      </c>
      <c r="B20">
        <f t="shared" si="4"/>
        <v>308</v>
      </c>
      <c r="C20">
        <v>1.26</v>
      </c>
      <c r="D20">
        <v>7.8</v>
      </c>
      <c r="E20">
        <v>0.84</v>
      </c>
      <c r="F20">
        <v>23.48</v>
      </c>
      <c r="G20">
        <v>22.2</v>
      </c>
      <c r="H20">
        <f t="shared" si="2"/>
        <v>9.4548551959114137E-3</v>
      </c>
      <c r="I20">
        <f t="shared" si="3"/>
        <v>0.26599773638918917</v>
      </c>
    </row>
    <row r="21" spans="1:9" x14ac:dyDescent="0.3">
      <c r="A21">
        <v>35</v>
      </c>
      <c r="B21">
        <f t="shared" si="4"/>
        <v>308</v>
      </c>
      <c r="C21">
        <v>1.26</v>
      </c>
      <c r="D21">
        <v>7.8</v>
      </c>
      <c r="E21">
        <v>0.85</v>
      </c>
      <c r="F21">
        <v>23.5</v>
      </c>
      <c r="G21">
        <v>22.2</v>
      </c>
      <c r="H21">
        <f t="shared" si="2"/>
        <v>9.4468085106382983E-3</v>
      </c>
      <c r="I21">
        <f t="shared" si="3"/>
        <v>0.272600714527027</v>
      </c>
    </row>
    <row r="22" spans="1:9" x14ac:dyDescent="0.3">
      <c r="A22">
        <v>40</v>
      </c>
      <c r="B22">
        <f t="shared" si="4"/>
        <v>313</v>
      </c>
      <c r="C22">
        <v>1.26</v>
      </c>
      <c r="D22">
        <v>2.5</v>
      </c>
      <c r="E22">
        <v>2.1</v>
      </c>
      <c r="F22">
        <v>16</v>
      </c>
      <c r="G22">
        <v>22.2</v>
      </c>
      <c r="H22">
        <f t="shared" si="2"/>
        <v>1.3875E-2</v>
      </c>
      <c r="I22">
        <f t="shared" si="3"/>
        <v>0.21479481081081087</v>
      </c>
    </row>
    <row r="23" spans="1:9" x14ac:dyDescent="0.3">
      <c r="A23">
        <v>40</v>
      </c>
      <c r="B23">
        <f t="shared" si="4"/>
        <v>313</v>
      </c>
      <c r="C23">
        <v>1.26</v>
      </c>
      <c r="D23">
        <v>2.5</v>
      </c>
      <c r="E23">
        <v>2.1</v>
      </c>
      <c r="F23">
        <v>15.75</v>
      </c>
      <c r="G23">
        <v>22.2</v>
      </c>
      <c r="H23">
        <f t="shared" si="2"/>
        <v>1.4095238095238095E-2</v>
      </c>
      <c r="I23">
        <f t="shared" si="3"/>
        <v>0.21143864189189193</v>
      </c>
    </row>
    <row r="24" spans="1:9" x14ac:dyDescent="0.3">
      <c r="A24">
        <v>40</v>
      </c>
      <c r="B24">
        <f t="shared" si="4"/>
        <v>313</v>
      </c>
      <c r="C24">
        <v>1.26</v>
      </c>
      <c r="D24">
        <v>7.8</v>
      </c>
      <c r="E24">
        <v>0.9</v>
      </c>
      <c r="F24">
        <v>16.559999999999999</v>
      </c>
      <c r="G24">
        <v>22.2</v>
      </c>
      <c r="H24">
        <f t="shared" si="2"/>
        <v>1.3405797101449277E-2</v>
      </c>
      <c r="I24">
        <f t="shared" si="3"/>
        <v>0.21536078594594593</v>
      </c>
    </row>
    <row r="25" spans="1:9" x14ac:dyDescent="0.3">
      <c r="A25">
        <v>40</v>
      </c>
      <c r="B25">
        <f t="shared" si="4"/>
        <v>313</v>
      </c>
      <c r="C25">
        <v>1.26</v>
      </c>
      <c r="D25">
        <v>7.8</v>
      </c>
      <c r="E25">
        <v>0.7</v>
      </c>
      <c r="F25">
        <f>23.96</f>
        <v>23.96</v>
      </c>
      <c r="G25">
        <v>22.2</v>
      </c>
      <c r="H25">
        <f t="shared" si="2"/>
        <v>9.2654424040066775E-3</v>
      </c>
      <c r="I25">
        <f t="shared" si="3"/>
        <v>0.18849688162162162</v>
      </c>
    </row>
    <row r="26" spans="1:9" x14ac:dyDescent="0.3">
      <c r="A26">
        <v>45</v>
      </c>
      <c r="B26">
        <f t="shared" si="4"/>
        <v>318</v>
      </c>
      <c r="C26">
        <v>1.26</v>
      </c>
      <c r="D26">
        <v>2.5</v>
      </c>
      <c r="E26">
        <v>2</v>
      </c>
      <c r="F26">
        <v>11.75</v>
      </c>
      <c r="G26">
        <v>22.2</v>
      </c>
      <c r="H26">
        <f t="shared" si="2"/>
        <v>1.8893617021276597E-2</v>
      </c>
      <c r="I26">
        <f t="shared" si="3"/>
        <v>0.14307477477477476</v>
      </c>
    </row>
    <row r="27" spans="1:9" x14ac:dyDescent="0.3">
      <c r="A27">
        <v>45</v>
      </c>
      <c r="B27">
        <f t="shared" si="4"/>
        <v>318</v>
      </c>
      <c r="C27">
        <v>1.26</v>
      </c>
      <c r="D27">
        <v>2.5</v>
      </c>
      <c r="E27">
        <v>2.1</v>
      </c>
      <c r="F27">
        <v>11.37</v>
      </c>
      <c r="G27">
        <v>22.2</v>
      </c>
      <c r="H27">
        <f t="shared" si="2"/>
        <v>1.9525065963060688E-2</v>
      </c>
      <c r="I27">
        <f t="shared" si="3"/>
        <v>0.15263856243243246</v>
      </c>
    </row>
    <row r="28" spans="1:9" x14ac:dyDescent="0.3">
      <c r="A28">
        <v>45</v>
      </c>
      <c r="B28">
        <f t="shared" si="4"/>
        <v>318</v>
      </c>
      <c r="C28">
        <v>1.26</v>
      </c>
      <c r="D28">
        <v>7.8</v>
      </c>
      <c r="E28">
        <v>0.9</v>
      </c>
      <c r="F28">
        <v>11.82</v>
      </c>
      <c r="G28">
        <v>22.2</v>
      </c>
      <c r="H28">
        <f t="shared" si="2"/>
        <v>1.8781725888324875E-2</v>
      </c>
      <c r="I28">
        <f t="shared" si="3"/>
        <v>0.15371766243243243</v>
      </c>
    </row>
    <row r="29" spans="1:9" x14ac:dyDescent="0.3">
      <c r="A29">
        <v>45</v>
      </c>
      <c r="B29">
        <f t="shared" si="4"/>
        <v>318</v>
      </c>
      <c r="C29">
        <v>1.26</v>
      </c>
      <c r="D29">
        <v>7.8</v>
      </c>
      <c r="E29">
        <v>0.9</v>
      </c>
      <c r="F29">
        <v>12.57</v>
      </c>
      <c r="G29">
        <v>22.2</v>
      </c>
      <c r="H29">
        <f t="shared" si="2"/>
        <v>1.7661097852028639E-2</v>
      </c>
      <c r="I29">
        <f t="shared" si="3"/>
        <v>0.16347132121621621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295C-F1DE-4876-91E2-10D1067CC1F9}">
  <dimension ref="A1:B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f>11</f>
        <v>11</v>
      </c>
      <c r="B2">
        <f>11.2</f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2025-04-15T10:55:11Z</dcterms:created>
  <dcterms:modified xsi:type="dcterms:W3CDTF">2025-04-22T01:58:25Z</dcterms:modified>
</cp:coreProperties>
</file>