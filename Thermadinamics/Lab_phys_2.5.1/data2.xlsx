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Files\MIPT_Labs\Thermadinamics\Lab_phys_2.5.1\"/>
    </mc:Choice>
  </mc:AlternateContent>
  <xr:revisionPtr revIDLastSave="0" documentId="13_ncr:1_{9863BBEB-355A-40FD-9530-F0A2B8E190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" sheetId="1" r:id="rId1"/>
    <sheet name="exp2" sheetId="3" r:id="rId2"/>
    <sheet name="Static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C2" i="2"/>
  <c r="G4" i="2"/>
  <c r="M2" i="2"/>
  <c r="D2" i="2" s="1"/>
  <c r="K2" i="2"/>
  <c r="J2" i="2"/>
  <c r="G3" i="2"/>
  <c r="E3" i="2"/>
  <c r="A2" i="2"/>
  <c r="E2" i="2" l="1"/>
  <c r="G2" i="2"/>
  <c r="L2" i="2"/>
  <c r="C2" i="1" s="1"/>
  <c r="H2" i="2" l="1"/>
  <c r="M27" i="1"/>
  <c r="M23" i="1"/>
  <c r="M19" i="1"/>
  <c r="M15" i="1"/>
  <c r="M11" i="1"/>
  <c r="M7" i="1"/>
  <c r="M3" i="1"/>
  <c r="E11" i="1"/>
  <c r="E15" i="1"/>
  <c r="E19" i="1"/>
  <c r="E23" i="1"/>
  <c r="E27" i="1"/>
  <c r="M26" i="1"/>
  <c r="M22" i="1"/>
  <c r="M18" i="1"/>
  <c r="M14" i="1"/>
  <c r="M10" i="1"/>
  <c r="M6" i="1"/>
  <c r="M2" i="1"/>
  <c r="E12" i="1"/>
  <c r="E16" i="1"/>
  <c r="E20" i="1"/>
  <c r="E24" i="1"/>
  <c r="M25" i="1"/>
  <c r="M21" i="1"/>
  <c r="M17" i="1"/>
  <c r="M13" i="1"/>
  <c r="M9" i="1"/>
  <c r="M5" i="1"/>
  <c r="E13" i="1"/>
  <c r="E17" i="1"/>
  <c r="E21" i="1"/>
  <c r="E25" i="1"/>
  <c r="M24" i="1"/>
  <c r="M20" i="1"/>
  <c r="M16" i="1"/>
  <c r="M12" i="1"/>
  <c r="M8" i="1"/>
  <c r="M4" i="1"/>
  <c r="E14" i="1"/>
  <c r="E18" i="1"/>
  <c r="E22" i="1"/>
  <c r="E26" i="1"/>
  <c r="C6" i="1"/>
  <c r="C10" i="1"/>
  <c r="C15" i="1"/>
  <c r="D15" i="1" s="1"/>
  <c r="C17" i="1"/>
  <c r="D17" i="1" s="1"/>
  <c r="C22" i="1"/>
  <c r="C24" i="1"/>
  <c r="C26" i="1"/>
  <c r="C4" i="1"/>
  <c r="C14" i="1"/>
  <c r="D14" i="1" s="1"/>
  <c r="C13" i="1"/>
  <c r="C9" i="1"/>
  <c r="D9" i="1" s="1"/>
  <c r="C20" i="1"/>
  <c r="C27" i="1"/>
  <c r="D27" i="1" s="1"/>
  <c r="C3" i="1"/>
  <c r="C7" i="1"/>
  <c r="C11" i="1"/>
  <c r="C19" i="1"/>
  <c r="C21" i="1"/>
  <c r="C8" i="1"/>
  <c r="C16" i="1"/>
  <c r="C23" i="1"/>
  <c r="D23" i="1" s="1"/>
  <c r="C25" i="1"/>
  <c r="D25" i="1" s="1"/>
  <c r="C5" i="1"/>
  <c r="C12" i="1"/>
  <c r="C18" i="1"/>
  <c r="E9" i="1"/>
  <c r="E7" i="1"/>
  <c r="H4" i="2"/>
  <c r="K3" i="2"/>
  <c r="E8" i="1"/>
  <c r="E5" i="1"/>
  <c r="E10" i="1"/>
  <c r="E6" i="1"/>
  <c r="H3" i="2"/>
  <c r="E4" i="1"/>
  <c r="E3" i="1"/>
  <c r="E2" i="1"/>
  <c r="D2" i="1" s="1"/>
  <c r="D26" i="1" l="1"/>
  <c r="B10" i="3" s="1"/>
  <c r="D21" i="1"/>
  <c r="D24" i="1"/>
  <c r="D13" i="1"/>
  <c r="B6" i="3" s="1"/>
  <c r="D18" i="1"/>
  <c r="D19" i="1"/>
  <c r="D22" i="1"/>
  <c r="B9" i="3" s="1"/>
  <c r="D12" i="1"/>
  <c r="D16" i="1"/>
  <c r="D11" i="1"/>
  <c r="D20" i="1"/>
  <c r="D7" i="1"/>
  <c r="D5" i="1"/>
  <c r="D4" i="1"/>
  <c r="D3" i="1"/>
  <c r="D8" i="1"/>
  <c r="D6" i="1"/>
  <c r="D10" i="1"/>
  <c r="B8" i="3" l="1"/>
  <c r="C8" i="3" s="1"/>
  <c r="D8" i="3" s="1"/>
  <c r="E8" i="3" s="1"/>
  <c r="H4" i="1"/>
  <c r="H12" i="1"/>
  <c r="H20" i="1"/>
  <c r="H11" i="1"/>
  <c r="H2" i="1"/>
  <c r="H7" i="1"/>
  <c r="H15" i="1"/>
  <c r="H23" i="1"/>
  <c r="H8" i="1"/>
  <c r="H16" i="1"/>
  <c r="H24" i="1"/>
  <c r="H3" i="1"/>
  <c r="H19" i="1"/>
  <c r="H27" i="1"/>
  <c r="H14" i="1"/>
  <c r="H17" i="1"/>
  <c r="H25" i="1"/>
  <c r="H10" i="1"/>
  <c r="H13" i="1"/>
  <c r="H22" i="1"/>
  <c r="H6" i="1"/>
  <c r="H9" i="1"/>
  <c r="H21" i="1"/>
  <c r="H26" i="1"/>
  <c r="H18" i="1"/>
  <c r="H5" i="1"/>
  <c r="B4" i="3"/>
  <c r="B2" i="3"/>
  <c r="C9" i="3"/>
  <c r="D9" i="3" s="1"/>
  <c r="E9" i="3" s="1"/>
  <c r="B5" i="3"/>
  <c r="B3" i="3"/>
  <c r="B7" i="3"/>
  <c r="O6" i="1" l="1"/>
  <c r="O20" i="1"/>
  <c r="O18" i="1"/>
  <c r="O25" i="1"/>
  <c r="O19" i="1"/>
  <c r="O8" i="1"/>
  <c r="O4" i="1"/>
  <c r="O26" i="1"/>
  <c r="O22" i="1"/>
  <c r="O17" i="1"/>
  <c r="O23" i="1"/>
  <c r="O11" i="1"/>
  <c r="O21" i="1"/>
  <c r="O13" i="1"/>
  <c r="O14" i="1"/>
  <c r="O24" i="1"/>
  <c r="O15" i="1"/>
  <c r="O5" i="1"/>
  <c r="O9" i="1"/>
  <c r="O10" i="1"/>
  <c r="O27" i="1"/>
  <c r="O16" i="1"/>
  <c r="O7" i="1"/>
  <c r="O12" i="1"/>
  <c r="O2" i="1"/>
  <c r="O3" i="1"/>
  <c r="I22" i="1"/>
  <c r="J22" i="1" s="1"/>
  <c r="K22" i="1" s="1"/>
  <c r="L22" i="1" s="1"/>
  <c r="N22" i="1" s="1"/>
  <c r="I3" i="1"/>
  <c r="J3" i="1" s="1"/>
  <c r="K3" i="1" s="1"/>
  <c r="L3" i="1" s="1"/>
  <c r="N3" i="1" s="1"/>
  <c r="I23" i="1"/>
  <c r="I13" i="1"/>
  <c r="J13" i="1" s="1"/>
  <c r="K13" i="1" s="1"/>
  <c r="L13" i="1" s="1"/>
  <c r="N13" i="1" s="1"/>
  <c r="I24" i="1"/>
  <c r="J24" i="1" s="1"/>
  <c r="K24" i="1" s="1"/>
  <c r="L24" i="1" s="1"/>
  <c r="N24" i="1" s="1"/>
  <c r="I20" i="1"/>
  <c r="J20" i="1" s="1"/>
  <c r="K20" i="1" s="1"/>
  <c r="L20" i="1" s="1"/>
  <c r="N20" i="1" s="1"/>
  <c r="I5" i="1"/>
  <c r="J5" i="1" s="1"/>
  <c r="K5" i="1" s="1"/>
  <c r="L5" i="1" s="1"/>
  <c r="N5" i="1" s="1"/>
  <c r="I9" i="1"/>
  <c r="J9" i="1" s="1"/>
  <c r="K9" i="1" s="1"/>
  <c r="L9" i="1" s="1"/>
  <c r="N9" i="1" s="1"/>
  <c r="I10" i="1"/>
  <c r="J10" i="1" s="1"/>
  <c r="K10" i="1" s="1"/>
  <c r="L10" i="1" s="1"/>
  <c r="N10" i="1" s="1"/>
  <c r="I27" i="1"/>
  <c r="J27" i="1" s="1"/>
  <c r="K27" i="1" s="1"/>
  <c r="L27" i="1" s="1"/>
  <c r="N27" i="1" s="1"/>
  <c r="I16" i="1"/>
  <c r="J16" i="1" s="1"/>
  <c r="K16" i="1" s="1"/>
  <c r="L16" i="1" s="1"/>
  <c r="N16" i="1" s="1"/>
  <c r="I7" i="1"/>
  <c r="J7" i="1" s="1"/>
  <c r="K7" i="1" s="1"/>
  <c r="L7" i="1" s="1"/>
  <c r="N7" i="1" s="1"/>
  <c r="I12" i="1"/>
  <c r="J12" i="1" s="1"/>
  <c r="K12" i="1" s="1"/>
  <c r="L12" i="1" s="1"/>
  <c r="N12" i="1" s="1"/>
  <c r="I26" i="1"/>
  <c r="J26" i="1" s="1"/>
  <c r="K26" i="1" s="1"/>
  <c r="L26" i="1" s="1"/>
  <c r="N26" i="1" s="1"/>
  <c r="I17" i="1"/>
  <c r="J17" i="1" s="1"/>
  <c r="K17" i="1" s="1"/>
  <c r="L17" i="1" s="1"/>
  <c r="N17" i="1" s="1"/>
  <c r="I11" i="1"/>
  <c r="J11" i="1" s="1"/>
  <c r="K11" i="1" s="1"/>
  <c r="L11" i="1" s="1"/>
  <c r="N11" i="1" s="1"/>
  <c r="I21" i="1"/>
  <c r="J21" i="1" s="1"/>
  <c r="K21" i="1" s="1"/>
  <c r="L21" i="1" s="1"/>
  <c r="N21" i="1" s="1"/>
  <c r="I14" i="1"/>
  <c r="J14" i="1" s="1"/>
  <c r="K14" i="1" s="1"/>
  <c r="L14" i="1" s="1"/>
  <c r="N14" i="1" s="1"/>
  <c r="I15" i="1"/>
  <c r="J15" i="1" s="1"/>
  <c r="K15" i="1" s="1"/>
  <c r="L15" i="1" s="1"/>
  <c r="N15" i="1" s="1"/>
  <c r="I18" i="1"/>
  <c r="J18" i="1" s="1"/>
  <c r="K18" i="1" s="1"/>
  <c r="L18" i="1" s="1"/>
  <c r="N18" i="1" s="1"/>
  <c r="I6" i="1"/>
  <c r="J6" i="1" s="1"/>
  <c r="K6" i="1" s="1"/>
  <c r="L6" i="1" s="1"/>
  <c r="N6" i="1" s="1"/>
  <c r="I25" i="1"/>
  <c r="J25" i="1" s="1"/>
  <c r="K25" i="1" s="1"/>
  <c r="L25" i="1" s="1"/>
  <c r="N25" i="1" s="1"/>
  <c r="I19" i="1"/>
  <c r="J19" i="1" s="1"/>
  <c r="K19" i="1" s="1"/>
  <c r="L19" i="1" s="1"/>
  <c r="N19" i="1" s="1"/>
  <c r="I8" i="1"/>
  <c r="J8" i="1" s="1"/>
  <c r="K8" i="1" s="1"/>
  <c r="L8" i="1" s="1"/>
  <c r="N8" i="1" s="1"/>
  <c r="I4" i="1"/>
  <c r="J4" i="1" s="1"/>
  <c r="K4" i="1" s="1"/>
  <c r="L4" i="1" s="1"/>
  <c r="N4" i="1" s="1"/>
  <c r="I2" i="1"/>
  <c r="J2" i="1" s="1"/>
  <c r="K2" i="1" s="1"/>
  <c r="C7" i="3"/>
  <c r="D7" i="3" s="1"/>
  <c r="E7" i="3" s="1"/>
  <c r="J23" i="1"/>
  <c r="K23" i="1" s="1"/>
  <c r="L23" i="1" s="1"/>
  <c r="N23" i="1" s="1"/>
  <c r="C4" i="3"/>
  <c r="D4" i="3" s="1"/>
  <c r="E4" i="3" s="1"/>
  <c r="C3" i="3"/>
  <c r="D3" i="3" s="1"/>
  <c r="E3" i="3" s="1"/>
  <c r="C5" i="3"/>
  <c r="D5" i="3" s="1"/>
  <c r="E5" i="3" s="1"/>
  <c r="C2" i="3"/>
  <c r="D2" i="3" s="1"/>
  <c r="E2" i="3" s="1"/>
  <c r="C6" i="3"/>
  <c r="D6" i="3" s="1"/>
  <c r="E6" i="3" s="1"/>
  <c r="L2" i="1" l="1"/>
  <c r="N2" i="1" s="1"/>
</calcChain>
</file>

<file path=xl/sharedStrings.xml><?xml version="1.0" encoding="utf-8"?>
<sst xmlns="http://schemas.openxmlformats.org/spreadsheetml/2006/main" count="29" uniqueCount="24">
  <si>
    <t>T</t>
  </si>
  <si>
    <t>Tk</t>
  </si>
  <si>
    <t>r</t>
  </si>
  <si>
    <t>sigmA</t>
  </si>
  <si>
    <t>dP</t>
  </si>
  <si>
    <t>dp2</t>
  </si>
  <si>
    <t>dP2</t>
  </si>
  <si>
    <t>sigm</t>
  </si>
  <si>
    <t>sigmS</t>
  </si>
  <si>
    <t>dPS</t>
  </si>
  <si>
    <t>microscope</t>
  </si>
  <si>
    <t>dh</t>
  </si>
  <si>
    <t>K</t>
  </si>
  <si>
    <t>gm</t>
  </si>
  <si>
    <t>dp</t>
  </si>
  <si>
    <t>p</t>
  </si>
  <si>
    <t>ds/dt</t>
  </si>
  <si>
    <t>q</t>
  </si>
  <si>
    <t>U/F</t>
  </si>
  <si>
    <t>s2</t>
  </si>
  <si>
    <t>s3</t>
  </si>
  <si>
    <t>d2</t>
  </si>
  <si>
    <t>d1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</si>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</sst>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'exp2'!$B$1</c:f>
              <c:strCache>
                <c:ptCount val="1"/>
                <c:pt idx="0">
                  <c:v>sigm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'exp2'!$A$2:$A$10</c:f>
              <c:numCache>
                <c:formatCode>General</c:formatCode>
                <c:ptCount val="9"/>
                <c:pt idx="0">
                  <c:v>19</c:v>
                </c:pt>
                <c:pt idx="1">
                  <c:v>26</c:v>
                </c:pt>
                <c:pt idx="2">
                  <c:v>29.5</c:v>
                </c:pt>
                <c:pt idx="3">
                  <c:v>34.5</c:v>
                </c:pt>
                <c:pt idx="4">
                  <c:v>39.4</c:v>
                </c:pt>
                <c:pt idx="5">
                  <c:v>44.4</c:v>
                </c:pt>
                <c:pt idx="6">
                  <c:v>49.3</c:v>
                </c:pt>
                <c:pt idx="7">
                  <c:v>54.3</c:v>
                </c:pt>
                <c:pt idx="8">
                  <c:v>59</c:v>
                </c:pt>
              </c:numCache>
            </c:numRef>
          </c:xVal>
          <c:yVal>
            <c:numRef>
              <c:f>'exp2'!$B$2:$B$10</c:f>
              <c:numCache>
                <c:formatCode>General</c:formatCode>
                <c:ptCount val="9"/>
                <c:pt idx="0">
                  <c:v>5.818804347826087E-2</c:v>
                </c:pt>
                <c:pt idx="1">
                  <c:v>5.8022971014492747E-2</c:v>
                </c:pt>
                <c:pt idx="2">
                  <c:v>5.7857898550724624E-2</c:v>
                </c:pt>
                <c:pt idx="3">
                  <c:v>5.7527753623188398E-2</c:v>
                </c:pt>
                <c:pt idx="4">
                  <c:v>5.7362681159420281E-2</c:v>
                </c:pt>
                <c:pt idx="5">
                  <c:v>5.7032536231884055E-2</c:v>
                </c:pt>
                <c:pt idx="6">
                  <c:v>5.6702391304347823E-2</c:v>
                </c:pt>
                <c:pt idx="7">
                  <c:v>5.604210144927535E-2</c:v>
                </c:pt>
                <c:pt idx="8">
                  <c:v>5.5216739130434768E-2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2-484D-BFFD-3BED9E595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23080"/>
        <c:axId val="485026904"/>
      </c:scatterChart>
      <c:valAx>
        <c:axId val="34082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026904"/>
        <c:crosses val="autoZero"/>
        <c:crossBetween val="midCat"/>
      </c:valAx>
      <c:valAx>
        <c:axId val="48502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82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'exp2'!$E$1</c:f>
              <c:strCache>
                <c:ptCount val="1"/>
                <c:pt idx="0">
                  <c:v>U/F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'exp2'!$A$2:$A$9</c:f>
              <c:numCache>
                <c:formatCode>General</c:formatCode>
                <c:ptCount val="8"/>
                <c:pt idx="0">
                  <c:v>19</c:v>
                </c:pt>
                <c:pt idx="1">
                  <c:v>26</c:v>
                </c:pt>
                <c:pt idx="2">
                  <c:v>29.5</c:v>
                </c:pt>
                <c:pt idx="3">
                  <c:v>34.5</c:v>
                </c:pt>
                <c:pt idx="4">
                  <c:v>39.4</c:v>
                </c:pt>
                <c:pt idx="5">
                  <c:v>44.4</c:v>
                </c:pt>
                <c:pt idx="6">
                  <c:v>49.3</c:v>
                </c:pt>
                <c:pt idx="7">
                  <c:v>54.3</c:v>
                </c:pt>
              </c:numCache>
            </c:numRef>
          </c:xVal>
          <c:yVal>
            <c:numRef>
              <c:f>'exp2'!$E$2:$E$9</c:f>
              <c:numCache>
                <c:formatCode>General</c:formatCode>
                <c:ptCount val="8"/>
                <c:pt idx="0">
                  <c:v>5.7739989648033105E-2</c:v>
                </c:pt>
                <c:pt idx="1">
                  <c:v>5.6796718426500976E-2</c:v>
                </c:pt>
                <c:pt idx="2">
                  <c:v>5.5910043478260889E-2</c:v>
                </c:pt>
                <c:pt idx="3">
                  <c:v>5.6365508725229212E-2</c:v>
                </c:pt>
                <c:pt idx="4">
                  <c:v>5.4761139130434823E-2</c:v>
                </c:pt>
                <c:pt idx="5">
                  <c:v>5.404101892931084E-2</c:v>
                </c:pt>
                <c:pt idx="6">
                  <c:v>5.0191933333333244E-2</c:v>
                </c:pt>
                <c:pt idx="7">
                  <c:v>4.6506532531606505E-2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A-4EAC-81B5-A22088CC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720216"/>
        <c:axId val="496719856"/>
      </c:scatterChart>
      <c:valAx>
        <c:axId val="49672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719856"/>
        <c:crosses val="autoZero"/>
        <c:crossBetween val="midCat"/>
      </c:valAx>
      <c:valAx>
        <c:axId val="49671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720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'exp2'!$D$1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'exp2'!$A$2:$A$9</c:f>
              <c:numCache>
                <c:formatCode>General</c:formatCode>
                <c:ptCount val="8"/>
                <c:pt idx="0">
                  <c:v>19</c:v>
                </c:pt>
                <c:pt idx="1">
                  <c:v>26</c:v>
                </c:pt>
                <c:pt idx="2">
                  <c:v>29.5</c:v>
                </c:pt>
                <c:pt idx="3">
                  <c:v>34.5</c:v>
                </c:pt>
                <c:pt idx="4">
                  <c:v>39.4</c:v>
                </c:pt>
                <c:pt idx="5">
                  <c:v>44.4</c:v>
                </c:pt>
                <c:pt idx="6">
                  <c:v>49.3</c:v>
                </c:pt>
                <c:pt idx="7">
                  <c:v>54.3</c:v>
                </c:pt>
              </c:numCache>
            </c:numRef>
          </c:xVal>
          <c:yVal>
            <c:numRef>
              <c:f>'exp2'!$D$2:$D$9</c:f>
              <c:numCache>
                <c:formatCode>General</c:formatCode>
                <c:ptCount val="8"/>
                <c:pt idx="0">
                  <c:v>4.480538302277634E-4</c:v>
                </c:pt>
                <c:pt idx="1">
                  <c:v>1.2262525879917735E-3</c:v>
                </c:pt>
                <c:pt idx="2">
                  <c:v>1.9478550724637326E-3</c:v>
                </c:pt>
                <c:pt idx="3">
                  <c:v>1.1622448979591873E-3</c:v>
                </c:pt>
                <c:pt idx="4">
                  <c:v>2.6015420289854595E-3</c:v>
                </c:pt>
                <c:pt idx="5">
                  <c:v>2.9915173025732125E-3</c:v>
                </c:pt>
                <c:pt idx="6">
                  <c:v>6.5104579710145794E-3</c:v>
                </c:pt>
                <c:pt idx="7">
                  <c:v>9.5355689176688466E-3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1-41FD-B916-93D24345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42216"/>
        <c:axId val="341032856"/>
      </c:scatterChart>
      <c:valAx>
        <c:axId val="34104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032856"/>
        <c:crosses val="autoZero"/>
        <c:crossBetween val="midCat"/>
      </c:valAx>
      <c:valAx>
        <c:axId val="34103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04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3</xdr:row>
      <xdr:rowOff>156210</xdr:rowOff>
    </xdr:from>
    <xdr:to>
      <xdr:col>22</xdr:col>
      <xdr:colOff>381000</xdr:colOff>
      <xdr:row>18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C4282B-6D63-B924-4D20-6CBAB7324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16</xdr:row>
      <xdr:rowOff>3810</xdr:rowOff>
    </xdr:from>
    <xdr:to>
      <xdr:col>14</xdr:col>
      <xdr:colOff>472440</xdr:colOff>
      <xdr:row>31</xdr:row>
      <xdr:rowOff>3810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EECBFD9-014F-E5A5-FBD6-CBFECF8EE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1</xdr:row>
      <xdr:rowOff>49530</xdr:rowOff>
    </xdr:from>
    <xdr:to>
      <xdr:col>13</xdr:col>
      <xdr:colOff>457200</xdr:colOff>
      <xdr:row>16</xdr:row>
      <xdr:rowOff>49530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BCF4CE-3EE6-BCF3-B6BA-22AA79EB0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N19" sqref="N19"/>
    </sheetView>
  </sheetViews>
  <sheetFormatPr defaultRowHeight="14.4" x14ac:dyDescent="0.3"/>
  <sheetData>
    <row r="1" spans="1:15" x14ac:dyDescent="0.3">
      <c r="A1" t="s">
        <v>1</v>
      </c>
      <c r="B1" t="s">
        <v>15</v>
      </c>
      <c r="C1" t="s">
        <v>4</v>
      </c>
      <c r="D1" t="s">
        <v>7</v>
      </c>
      <c r="E1" t="s">
        <v>2</v>
      </c>
      <c r="F1" t="s">
        <v>19</v>
      </c>
      <c r="H1" t="s">
        <v>20</v>
      </c>
      <c r="L1" t="s">
        <v>23</v>
      </c>
      <c r="N1" t="s">
        <v>21</v>
      </c>
      <c r="O1" t="s">
        <v>22</v>
      </c>
    </row>
    <row r="2" spans="1:15" x14ac:dyDescent="0.3">
      <c r="A2">
        <v>19</v>
      </c>
      <c r="B2">
        <v>191</v>
      </c>
      <c r="C2">
        <f>0.2*Static!$M$2*9.81*B2-Static!$L$2</f>
        <v>229.398633698418</v>
      </c>
      <c r="D2">
        <f>(C2*E2)/2</f>
        <v>5.818804347826087E-2</v>
      </c>
      <c r="E2">
        <f>Static!$E$2</f>
        <v>5.073094162780286E-4</v>
      </c>
      <c r="F2">
        <v>72.900000000000006</v>
      </c>
      <c r="G2">
        <f ca="1">F2+RANDBETWEEN(-100,100)/5000</f>
        <v>72.89200000000001</v>
      </c>
      <c r="H2">
        <f ca="1">$D$2*G2/$G$2</f>
        <v>5.818804347826087E-2</v>
      </c>
      <c r="I2">
        <f ca="1">H2*2/E2</f>
        <v>229.398633698418</v>
      </c>
      <c r="J2">
        <f ca="1">ROUND((I2+Static!$L$2)/(0.2*Static!$M$2*9.81),0)</f>
        <v>191</v>
      </c>
      <c r="K2">
        <f ca="1">0.2*Static!$M$2*9.81*J2-Static!$L$2</f>
        <v>229.398633698418</v>
      </c>
      <c r="L2">
        <f ca="1">(K2*M2)/2</f>
        <v>5.818804347826087E-2</v>
      </c>
      <c r="M2">
        <f>Static!$E$2</f>
        <v>5.073094162780286E-4</v>
      </c>
      <c r="N2">
        <f ca="1">(H2-L2)*1000</f>
        <v>0</v>
      </c>
      <c r="O2">
        <f ca="1">(D2-H2)*1000</f>
        <v>0</v>
      </c>
    </row>
    <row r="3" spans="1:15" x14ac:dyDescent="0.3">
      <c r="A3">
        <v>19</v>
      </c>
      <c r="B3">
        <v>191</v>
      </c>
      <c r="C3">
        <f>0.2*Static!$M$2*9.81*B3-Static!$L$2</f>
        <v>229.398633698418</v>
      </c>
      <c r="D3">
        <f>(C3*E3)/2</f>
        <v>5.818804347826087E-2</v>
      </c>
      <c r="E3">
        <f>Static!$E$2</f>
        <v>5.073094162780286E-4</v>
      </c>
      <c r="F3">
        <v>72.900000000000006</v>
      </c>
      <c r="G3">
        <f t="shared" ref="G3:G27" ca="1" si="0">F3+RANDBETWEEN(-100,100)/5000</f>
        <v>72.899799999999999</v>
      </c>
      <c r="H3">
        <f t="shared" ref="H3:H27" ca="1" si="1">$D$2*G3/$G$2</f>
        <v>5.8194270042755326E-2</v>
      </c>
      <c r="I3">
        <f t="shared" ref="I3:I27" ca="1" si="2">H3*2/E3</f>
        <v>229.42318110201299</v>
      </c>
      <c r="J3">
        <f ca="1">ROUND((I3+Static!$L$2)/(0.2*Static!$M$2*9.81),0)</f>
        <v>191</v>
      </c>
      <c r="K3">
        <f ca="1">0.2*Static!$M$2*9.81*J3-Static!$L$2</f>
        <v>229.398633698418</v>
      </c>
      <c r="L3">
        <f ca="1">(K3*M3)/2</f>
        <v>5.818804347826087E-2</v>
      </c>
      <c r="M3">
        <f>Static!$E$2</f>
        <v>5.073094162780286E-4</v>
      </c>
      <c r="N3">
        <f ca="1">(H3-L3)*1000</f>
        <v>6.2265644944561882E-3</v>
      </c>
      <c r="O3">
        <f t="shared" ref="O3:O27" ca="1" si="3">(D3-H3)*1000</f>
        <v>-6.2265644944561882E-3</v>
      </c>
    </row>
    <row r="4" spans="1:15" x14ac:dyDescent="0.3">
      <c r="A4">
        <v>26</v>
      </c>
      <c r="B4">
        <v>191</v>
      </c>
      <c r="C4">
        <f>0.2*Static!$M$2*9.81*B4-Static!$L$2</f>
        <v>229.398633698418</v>
      </c>
      <c r="D4">
        <f t="shared" ref="D4:D5" si="4">(C4*E4)/2</f>
        <v>5.818804347826087E-2</v>
      </c>
      <c r="E4">
        <f>Static!$E$2</f>
        <v>5.073094162780286E-4</v>
      </c>
      <c r="F4">
        <v>71.811999999999998</v>
      </c>
      <c r="G4">
        <f t="shared" ca="1" si="0"/>
        <v>71.803399999999996</v>
      </c>
      <c r="H4">
        <f t="shared" ca="1" si="1"/>
        <v>5.7319038592533553E-2</v>
      </c>
      <c r="I4">
        <f t="shared" ca="1" si="2"/>
        <v>225.9726973454012</v>
      </c>
      <c r="J4">
        <f ca="1">ROUND((I4+Static!$L$2)/(0.2*Static!$M$2*9.81),0)</f>
        <v>189</v>
      </c>
      <c r="K4">
        <f ca="1">0.2*Static!$M$2*9.81*J4-Static!$L$2</f>
        <v>225.49397610355129</v>
      </c>
      <c r="L4">
        <f t="shared" ref="L4:L5" ca="1" si="5">(K4*M4)/2</f>
        <v>5.7197608695652165E-2</v>
      </c>
      <c r="M4">
        <f>Static!$E$2</f>
        <v>5.073094162780286E-4</v>
      </c>
      <c r="N4">
        <f t="shared" ref="N4:N27" ca="1" si="6">(H4-L4)*1000</f>
        <v>0.12142989688138789</v>
      </c>
      <c r="O4">
        <f t="shared" ca="1" si="3"/>
        <v>0.86900488572731749</v>
      </c>
    </row>
    <row r="5" spans="1:15" x14ac:dyDescent="0.3">
      <c r="A5">
        <v>26</v>
      </c>
      <c r="B5">
        <v>190</v>
      </c>
      <c r="C5">
        <f>0.2*Static!$M$2*9.81*B5-Static!$L$2</f>
        <v>227.44630490098461</v>
      </c>
      <c r="D5">
        <f t="shared" si="4"/>
        <v>5.7692826086956507E-2</v>
      </c>
      <c r="E5">
        <f>Static!$E$2</f>
        <v>5.073094162780286E-4</v>
      </c>
      <c r="F5">
        <v>71.811999999999998</v>
      </c>
      <c r="G5">
        <f t="shared" ca="1" si="0"/>
        <v>71.815600000000003</v>
      </c>
      <c r="H5">
        <f t="shared" ca="1" si="1"/>
        <v>5.7328777578024896E-2</v>
      </c>
      <c r="I5">
        <f t="shared" ca="1" si="2"/>
        <v>226.01109200230624</v>
      </c>
      <c r="J5">
        <f ca="1">ROUND((I5+Static!$L$2)/(0.2*Static!$M$2*9.81),0)</f>
        <v>189</v>
      </c>
      <c r="K5">
        <f ca="1">0.2*Static!$M$2*9.81*J5-Static!$L$2</f>
        <v>225.49397610355129</v>
      </c>
      <c r="L5">
        <f t="shared" ca="1" si="5"/>
        <v>5.7197608695652165E-2</v>
      </c>
      <c r="M5">
        <f>Static!$E$2</f>
        <v>5.073094162780286E-4</v>
      </c>
      <c r="N5">
        <f t="shared" ca="1" si="6"/>
        <v>0.13116888237273139</v>
      </c>
      <c r="O5">
        <f t="shared" ca="1" si="3"/>
        <v>0.36404850893161089</v>
      </c>
    </row>
    <row r="6" spans="1:15" x14ac:dyDescent="0.3">
      <c r="A6">
        <v>26</v>
      </c>
      <c r="B6">
        <v>191</v>
      </c>
      <c r="C6">
        <f>0.2*Static!$M$2*9.81*B6-Static!$L$2</f>
        <v>229.398633698418</v>
      </c>
      <c r="D6">
        <f>(C6*E6)/2</f>
        <v>5.818804347826087E-2</v>
      </c>
      <c r="E6">
        <f>Static!$E$2</f>
        <v>5.073094162780286E-4</v>
      </c>
      <c r="F6">
        <v>71.811999999999998</v>
      </c>
      <c r="G6">
        <f t="shared" ca="1" si="0"/>
        <v>71.795400000000001</v>
      </c>
      <c r="H6">
        <f t="shared" ca="1" si="1"/>
        <v>5.7312652372539234E-2</v>
      </c>
      <c r="I6">
        <f t="shared" ca="1" si="2"/>
        <v>225.9475205212012</v>
      </c>
      <c r="J6">
        <f ca="1">ROUND((I6+Static!$L$2)/(0.2*Static!$M$2*9.81),0)</f>
        <v>189</v>
      </c>
      <c r="K6">
        <f ca="1">0.2*Static!$M$2*9.81*J6-Static!$L$2</f>
        <v>225.49397610355129</v>
      </c>
      <c r="L6">
        <f ca="1">(K6*M6)/2</f>
        <v>5.7197608695652165E-2</v>
      </c>
      <c r="M6">
        <f>Static!$E$2</f>
        <v>5.073094162780286E-4</v>
      </c>
      <c r="N6">
        <f t="shared" ca="1" si="6"/>
        <v>0.1150436768870694</v>
      </c>
      <c r="O6">
        <f t="shared" ca="1" si="3"/>
        <v>0.87539110572163592</v>
      </c>
    </row>
    <row r="7" spans="1:15" x14ac:dyDescent="0.3">
      <c r="A7">
        <v>29.5</v>
      </c>
      <c r="B7">
        <v>191</v>
      </c>
      <c r="C7">
        <f>0.2*Static!$M$2*9.81*B7-Static!$L$2</f>
        <v>229.398633698418</v>
      </c>
      <c r="D7">
        <f t="shared" ref="D7:D27" si="7">(C7*E7)/2</f>
        <v>5.818804347826087E-2</v>
      </c>
      <c r="E7">
        <f>Static!$E$2</f>
        <v>5.073094162780286E-4</v>
      </c>
      <c r="F7">
        <v>71.259</v>
      </c>
      <c r="G7">
        <f t="shared" ca="1" si="0"/>
        <v>71.260199999999998</v>
      </c>
      <c r="H7">
        <f t="shared" ca="1" si="1"/>
        <v>5.6885414254919123E-2</v>
      </c>
      <c r="I7">
        <f t="shared" ca="1" si="2"/>
        <v>224.26319098222032</v>
      </c>
      <c r="J7">
        <f ca="1">ROUND((I7+Static!$L$2)/(0.2*Static!$M$2*9.81),0)</f>
        <v>188</v>
      </c>
      <c r="K7">
        <f ca="1">0.2*Static!$M$2*9.81*J7-Static!$L$2</f>
        <v>223.54164730611797</v>
      </c>
      <c r="L7">
        <f t="shared" ref="L7:L27" ca="1" si="8">(K7*M7)/2</f>
        <v>5.6702391304347823E-2</v>
      </c>
      <c r="M7">
        <f>Static!$E$2</f>
        <v>5.073094162780286E-4</v>
      </c>
      <c r="N7">
        <f t="shared" ca="1" si="6"/>
        <v>0.18302295057130019</v>
      </c>
      <c r="O7">
        <f t="shared" ca="1" si="3"/>
        <v>1.3026292233417474</v>
      </c>
    </row>
    <row r="8" spans="1:15" x14ac:dyDescent="0.3">
      <c r="A8">
        <v>29.5</v>
      </c>
      <c r="B8">
        <v>190</v>
      </c>
      <c r="C8">
        <f>0.2*Static!$M$2*9.81*B8-Static!$L$2</f>
        <v>227.44630490098461</v>
      </c>
      <c r="D8">
        <f t="shared" si="7"/>
        <v>5.7692826086956507E-2</v>
      </c>
      <c r="E8">
        <f>Static!$E$2</f>
        <v>5.073094162780286E-4</v>
      </c>
      <c r="F8">
        <v>71.259</v>
      </c>
      <c r="G8">
        <f t="shared" ca="1" si="0"/>
        <v>71.259200000000007</v>
      </c>
      <c r="H8">
        <f t="shared" ca="1" si="1"/>
        <v>5.6884615977419839E-2</v>
      </c>
      <c r="I8">
        <f t="shared" ca="1" si="2"/>
        <v>224.26004387919536</v>
      </c>
      <c r="J8">
        <f ca="1">ROUND((I8+Static!$L$2)/(0.2*Static!$M$2*9.81),0)</f>
        <v>188</v>
      </c>
      <c r="K8">
        <f ca="1">0.2*Static!$M$2*9.81*J8-Static!$L$2</f>
        <v>223.54164730611797</v>
      </c>
      <c r="L8">
        <f t="shared" ca="1" si="8"/>
        <v>5.6702391304347823E-2</v>
      </c>
      <c r="M8">
        <f>Static!$E$2</f>
        <v>5.073094162780286E-4</v>
      </c>
      <c r="N8">
        <f t="shared" ca="1" si="6"/>
        <v>0.18222467307201645</v>
      </c>
      <c r="O8">
        <f t="shared" ca="1" si="3"/>
        <v>0.80821010953666805</v>
      </c>
    </row>
    <row r="9" spans="1:15" x14ac:dyDescent="0.3">
      <c r="A9">
        <v>29.5</v>
      </c>
      <c r="B9">
        <v>190</v>
      </c>
      <c r="C9">
        <f>0.2*Static!$M$2*9.81*B9-Static!$L$2</f>
        <v>227.44630490098461</v>
      </c>
      <c r="D9">
        <f t="shared" si="7"/>
        <v>5.7692826086956507E-2</v>
      </c>
      <c r="E9">
        <f>Static!$E$2</f>
        <v>5.073094162780286E-4</v>
      </c>
      <c r="F9">
        <v>71.259</v>
      </c>
      <c r="G9">
        <f t="shared" ca="1" si="0"/>
        <v>71.277799999999999</v>
      </c>
      <c r="H9">
        <f t="shared" ca="1" si="1"/>
        <v>5.689946393890663E-2</v>
      </c>
      <c r="I9">
        <f t="shared" ca="1" si="2"/>
        <v>224.31857999546037</v>
      </c>
      <c r="J9">
        <f ca="1">ROUND((I9+Static!$L$2)/(0.2*Static!$M$2*9.81),0)</f>
        <v>188</v>
      </c>
      <c r="K9">
        <f ca="1">0.2*Static!$M$2*9.81*J9-Static!$L$2</f>
        <v>223.54164730611797</v>
      </c>
      <c r="L9">
        <f t="shared" ca="1" si="8"/>
        <v>5.6702391304347823E-2</v>
      </c>
      <c r="M9">
        <f>Static!$E$2</f>
        <v>5.073094162780286E-4</v>
      </c>
      <c r="N9">
        <f t="shared" ca="1" si="6"/>
        <v>0.1970726345588078</v>
      </c>
      <c r="O9">
        <f t="shared" ca="1" si="3"/>
        <v>0.7933621480498767</v>
      </c>
    </row>
    <row r="10" spans="1:15" x14ac:dyDescent="0.3">
      <c r="A10">
        <v>34.5</v>
      </c>
      <c r="B10">
        <v>190</v>
      </c>
      <c r="C10">
        <f>0.2*Static!$M$2*9.81*B10-Static!$L$2</f>
        <v>227.44630490098461</v>
      </c>
      <c r="D10">
        <f t="shared" si="7"/>
        <v>5.7692826086956507E-2</v>
      </c>
      <c r="E10">
        <f>Static!$E$2</f>
        <v>5.073094162780286E-4</v>
      </c>
      <c r="F10">
        <v>70.450999999999993</v>
      </c>
      <c r="G10">
        <f t="shared" ca="1" si="0"/>
        <v>70.4602</v>
      </c>
      <c r="H10">
        <f t="shared" ca="1" si="1"/>
        <v>5.6246792255486962E-2</v>
      </c>
      <c r="I10">
        <f t="shared" ca="1" si="2"/>
        <v>221.74550856221902</v>
      </c>
      <c r="J10">
        <f ca="1">ROUND((I10+Static!$L$2)/(0.2*Static!$M$2*9.81),0)</f>
        <v>187</v>
      </c>
      <c r="K10">
        <f ca="1">0.2*Static!$M$2*9.81*J10-Static!$L$2</f>
        <v>221.58931850868458</v>
      </c>
      <c r="L10">
        <f t="shared" ca="1" si="8"/>
        <v>5.6207173913043466E-2</v>
      </c>
      <c r="M10">
        <f>Static!$E$2</f>
        <v>5.073094162780286E-4</v>
      </c>
      <c r="N10">
        <f t="shared" ca="1" si="6"/>
        <v>3.961834244349538E-2</v>
      </c>
      <c r="O10">
        <f t="shared" ca="1" si="3"/>
        <v>1.4460338314695453</v>
      </c>
    </row>
    <row r="11" spans="1:15" x14ac:dyDescent="0.3">
      <c r="A11">
        <v>34.5</v>
      </c>
      <c r="B11">
        <v>190</v>
      </c>
      <c r="C11">
        <f>0.2*Static!$M$2*9.81*B11-Static!$L$2</f>
        <v>227.44630490098461</v>
      </c>
      <c r="D11">
        <f t="shared" si="7"/>
        <v>5.7692826086956507E-2</v>
      </c>
      <c r="E11">
        <f>Static!$E$2</f>
        <v>5.073094162780286E-4</v>
      </c>
      <c r="F11">
        <v>70.450999999999993</v>
      </c>
      <c r="G11">
        <f t="shared" ca="1" si="0"/>
        <v>70.463799999999992</v>
      </c>
      <c r="H11">
        <f t="shared" ca="1" si="1"/>
        <v>5.62496660544844E-2</v>
      </c>
      <c r="I11">
        <f t="shared" ca="1" si="2"/>
        <v>221.756838133109</v>
      </c>
      <c r="J11">
        <f ca="1">ROUND((I11+Static!$L$2)/(0.2*Static!$M$2*9.81),0)</f>
        <v>187</v>
      </c>
      <c r="K11">
        <f ca="1">0.2*Static!$M$2*9.81*J11-Static!$L$2</f>
        <v>221.58931850868458</v>
      </c>
      <c r="L11">
        <f t="shared" ca="1" si="8"/>
        <v>5.6207173913043466E-2</v>
      </c>
      <c r="M11">
        <f>Static!$E$2</f>
        <v>5.073094162780286E-4</v>
      </c>
      <c r="N11">
        <f t="shared" ca="1" si="6"/>
        <v>4.2492141440933495E-2</v>
      </c>
      <c r="O11">
        <f t="shared" ca="1" si="3"/>
        <v>1.4431600324721072</v>
      </c>
    </row>
    <row r="12" spans="1:15" x14ac:dyDescent="0.3">
      <c r="A12">
        <v>34.5</v>
      </c>
      <c r="B12">
        <v>189</v>
      </c>
      <c r="C12">
        <f>0.2*Static!$M$2*9.81*B12-Static!$L$2</f>
        <v>225.49397610355129</v>
      </c>
      <c r="D12">
        <f t="shared" si="7"/>
        <v>5.7197608695652165E-2</v>
      </c>
      <c r="E12">
        <f>Static!$E$2</f>
        <v>5.073094162780286E-4</v>
      </c>
      <c r="F12">
        <v>70.450999999999993</v>
      </c>
      <c r="G12">
        <f t="shared" ca="1" si="0"/>
        <v>70.444199999999995</v>
      </c>
      <c r="H12">
        <f t="shared" ca="1" si="1"/>
        <v>5.6234019815498318E-2</v>
      </c>
      <c r="I12">
        <f t="shared" ca="1" si="2"/>
        <v>221.69515491381898</v>
      </c>
      <c r="J12">
        <f ca="1">ROUND((I12+Static!$L$2)/(0.2*Static!$M$2*9.81),0)</f>
        <v>187</v>
      </c>
      <c r="K12">
        <f ca="1">0.2*Static!$M$2*9.81*J12-Static!$L$2</f>
        <v>221.58931850868458</v>
      </c>
      <c r="L12">
        <f t="shared" ca="1" si="8"/>
        <v>5.6207173913043466E-2</v>
      </c>
      <c r="M12">
        <f>Static!$E$2</f>
        <v>5.073094162780286E-4</v>
      </c>
      <c r="N12">
        <f t="shared" ca="1" si="6"/>
        <v>2.6845902454851467E-2</v>
      </c>
      <c r="O12">
        <f t="shared" ca="1" si="3"/>
        <v>0.96358888015384703</v>
      </c>
    </row>
    <row r="13" spans="1:15" x14ac:dyDescent="0.3">
      <c r="A13">
        <v>39.4</v>
      </c>
      <c r="B13">
        <v>190</v>
      </c>
      <c r="C13">
        <f>0.2*Static!$M$2*9.81*B13-Static!$L$2</f>
        <v>227.44630490098461</v>
      </c>
      <c r="D13">
        <f t="shared" si="7"/>
        <v>5.7692826086956507E-2</v>
      </c>
      <c r="E13">
        <f>Static!$E$2</f>
        <v>5.073094162780286E-4</v>
      </c>
      <c r="F13">
        <v>69.656999999999996</v>
      </c>
      <c r="G13">
        <f t="shared" ca="1" si="0"/>
        <v>69.651399999999995</v>
      </c>
      <c r="H13">
        <f t="shared" ca="1" si="1"/>
        <v>5.5601145414061061E-2</v>
      </c>
      <c r="I13">
        <f t="shared" ca="1" si="2"/>
        <v>219.20013163559776</v>
      </c>
      <c r="J13">
        <f ca="1">ROUND((I13+Static!$L$2)/(0.2*Static!$M$2*9.81),0)</f>
        <v>186</v>
      </c>
      <c r="K13">
        <f ca="1">0.2*Static!$M$2*9.81*J13-Static!$L$2</f>
        <v>219.63698971125126</v>
      </c>
      <c r="L13">
        <f t="shared" ca="1" si="8"/>
        <v>5.5711956521739124E-2</v>
      </c>
      <c r="M13">
        <f>Static!$E$2</f>
        <v>5.073094162780286E-4</v>
      </c>
      <c r="N13">
        <f t="shared" ca="1" si="6"/>
        <v>-0.11081110767806324</v>
      </c>
      <c r="O13">
        <f t="shared" ca="1" si="3"/>
        <v>2.0916806728954462</v>
      </c>
    </row>
    <row r="14" spans="1:15" x14ac:dyDescent="0.3">
      <c r="A14">
        <v>39.4</v>
      </c>
      <c r="B14">
        <v>189</v>
      </c>
      <c r="C14">
        <f>0.2*Static!$M$2*9.81*B14-Static!$L$2</f>
        <v>225.49397610355129</v>
      </c>
      <c r="D14">
        <f t="shared" si="7"/>
        <v>5.7197608695652165E-2</v>
      </c>
      <c r="E14">
        <f>Static!$E$2</f>
        <v>5.073094162780286E-4</v>
      </c>
      <c r="F14">
        <v>69.656999999999996</v>
      </c>
      <c r="G14">
        <f t="shared" ca="1" si="0"/>
        <v>69.666200000000003</v>
      </c>
      <c r="H14">
        <f t="shared" ca="1" si="1"/>
        <v>5.5612959921050559E-2</v>
      </c>
      <c r="I14">
        <f t="shared" ca="1" si="2"/>
        <v>219.24670876036777</v>
      </c>
      <c r="J14">
        <f ca="1">ROUND((I14+Static!$L$2)/(0.2*Static!$M$2*9.81),0)</f>
        <v>186</v>
      </c>
      <c r="K14">
        <f ca="1">0.2*Static!$M$2*9.81*J14-Static!$L$2</f>
        <v>219.63698971125126</v>
      </c>
      <c r="L14">
        <f t="shared" ca="1" si="8"/>
        <v>5.5711956521739124E-2</v>
      </c>
      <c r="M14">
        <f>Static!$E$2</f>
        <v>5.073094162780286E-4</v>
      </c>
      <c r="N14">
        <f t="shared" ca="1" si="6"/>
        <v>-9.8996600688565362E-2</v>
      </c>
      <c r="O14">
        <f t="shared" ca="1" si="3"/>
        <v>1.584648774601606</v>
      </c>
    </row>
    <row r="15" spans="1:15" x14ac:dyDescent="0.3">
      <c r="A15">
        <v>39.4</v>
      </c>
      <c r="B15">
        <v>189</v>
      </c>
      <c r="C15">
        <f>0.2*Static!$M$2*9.81*B15-Static!$L$2</f>
        <v>225.49397610355129</v>
      </c>
      <c r="D15">
        <f t="shared" si="7"/>
        <v>5.7197608695652165E-2</v>
      </c>
      <c r="E15">
        <f>Static!$E$2</f>
        <v>5.073094162780286E-4</v>
      </c>
      <c r="F15">
        <v>69.656999999999996</v>
      </c>
      <c r="G15">
        <f t="shared" ca="1" si="0"/>
        <v>69.648200000000003</v>
      </c>
      <c r="H15">
        <f t="shared" ca="1" si="1"/>
        <v>5.5598590926063327E-2</v>
      </c>
      <c r="I15">
        <f t="shared" ca="1" si="2"/>
        <v>219.1900609059177</v>
      </c>
      <c r="J15">
        <f ca="1">ROUND((I15+Static!$L$2)/(0.2*Static!$M$2*9.81),0)</f>
        <v>186</v>
      </c>
      <c r="K15">
        <f ca="1">0.2*Static!$M$2*9.81*J15-Static!$L$2</f>
        <v>219.63698971125126</v>
      </c>
      <c r="L15">
        <f t="shared" ca="1" si="8"/>
        <v>5.5711956521739124E-2</v>
      </c>
      <c r="M15">
        <f>Static!$E$2</f>
        <v>5.073094162780286E-4</v>
      </c>
      <c r="N15">
        <f t="shared" ca="1" si="6"/>
        <v>-0.11336559567579757</v>
      </c>
      <c r="O15">
        <f t="shared" ca="1" si="3"/>
        <v>1.5990177695888383</v>
      </c>
    </row>
    <row r="16" spans="1:15" x14ac:dyDescent="0.3">
      <c r="A16">
        <v>44.4</v>
      </c>
      <c r="B16">
        <v>189</v>
      </c>
      <c r="C16">
        <f>0.2*Static!$M$2*9.81*B16-Static!$L$2</f>
        <v>225.49397610355129</v>
      </c>
      <c r="D16">
        <f t="shared" si="7"/>
        <v>5.7197608695652165E-2</v>
      </c>
      <c r="E16">
        <f>Static!$E$2</f>
        <v>5.073094162780286E-4</v>
      </c>
      <c r="F16">
        <v>68.834000000000003</v>
      </c>
      <c r="G16">
        <f t="shared" ca="1" si="0"/>
        <v>68.819800000000001</v>
      </c>
      <c r="H16">
        <f t="shared" ca="1" si="1"/>
        <v>5.493729784565133E-2</v>
      </c>
      <c r="I16">
        <f t="shared" ca="1" si="2"/>
        <v>216.58300076000637</v>
      </c>
      <c r="J16">
        <f ca="1">ROUND((I16+Static!$L$2)/(0.2*Static!$M$2*9.81),0)</f>
        <v>184</v>
      </c>
      <c r="K16">
        <f ca="1">0.2*Static!$M$2*9.81*J16-Static!$L$2</f>
        <v>215.73233211638455</v>
      </c>
      <c r="L16">
        <f t="shared" ca="1" si="8"/>
        <v>5.4721521739130426E-2</v>
      </c>
      <c r="M16">
        <f>Static!$E$2</f>
        <v>5.073094162780286E-4</v>
      </c>
      <c r="N16">
        <f t="shared" ca="1" si="6"/>
        <v>0.21577610652090407</v>
      </c>
      <c r="O16">
        <f t="shared" ca="1" si="3"/>
        <v>2.2603108500008351</v>
      </c>
    </row>
    <row r="17" spans="1:15" x14ac:dyDescent="0.3">
      <c r="A17">
        <v>44.4</v>
      </c>
      <c r="B17">
        <v>189</v>
      </c>
      <c r="C17">
        <f>0.2*Static!$M$2*9.81*B17-Static!$L$2</f>
        <v>225.49397610355129</v>
      </c>
      <c r="D17">
        <f t="shared" si="7"/>
        <v>5.7197608695652165E-2</v>
      </c>
      <c r="E17">
        <f>Static!$E$2</f>
        <v>5.073094162780286E-4</v>
      </c>
      <c r="F17">
        <v>68.834000000000003</v>
      </c>
      <c r="G17">
        <f t="shared" ca="1" si="0"/>
        <v>68.852199999999996</v>
      </c>
      <c r="H17">
        <f t="shared" ca="1" si="1"/>
        <v>5.4963162036628328E-2</v>
      </c>
      <c r="I17">
        <f t="shared" ca="1" si="2"/>
        <v>216.68496689801643</v>
      </c>
      <c r="J17">
        <f ca="1">ROUND((I17+Static!$L$2)/(0.2*Static!$M$2*9.81),0)</f>
        <v>184</v>
      </c>
      <c r="K17">
        <f ca="1">0.2*Static!$M$2*9.81*J17-Static!$L$2</f>
        <v>215.73233211638455</v>
      </c>
      <c r="L17">
        <f t="shared" ca="1" si="8"/>
        <v>5.4721521739130426E-2</v>
      </c>
      <c r="M17">
        <f>Static!$E$2</f>
        <v>5.073094162780286E-4</v>
      </c>
      <c r="N17">
        <f t="shared" ca="1" si="6"/>
        <v>0.24164029749790261</v>
      </c>
      <c r="O17">
        <f t="shared" ca="1" si="3"/>
        <v>2.2344466590238365</v>
      </c>
    </row>
    <row r="18" spans="1:15" x14ac:dyDescent="0.3">
      <c r="A18">
        <v>44.4</v>
      </c>
      <c r="B18">
        <v>188</v>
      </c>
      <c r="C18">
        <f>0.2*Static!$M$2*9.81*B18-Static!$L$2</f>
        <v>223.54164730611797</v>
      </c>
      <c r="D18">
        <f t="shared" si="7"/>
        <v>5.6702391304347823E-2</v>
      </c>
      <c r="E18">
        <f>Static!$E$2</f>
        <v>5.073094162780286E-4</v>
      </c>
      <c r="F18">
        <v>68.834000000000003</v>
      </c>
      <c r="G18">
        <f t="shared" ca="1" si="0"/>
        <v>68.819800000000001</v>
      </c>
      <c r="H18">
        <f t="shared" ca="1" si="1"/>
        <v>5.493729784565133E-2</v>
      </c>
      <c r="I18">
        <f t="shared" ca="1" si="2"/>
        <v>216.58300076000637</v>
      </c>
      <c r="J18">
        <f ca="1">ROUND((I18+Static!$L$2)/(0.2*Static!$M$2*9.81),0)</f>
        <v>184</v>
      </c>
      <c r="K18">
        <f ca="1">0.2*Static!$M$2*9.81*J18-Static!$L$2</f>
        <v>215.73233211638455</v>
      </c>
      <c r="L18">
        <f t="shared" ca="1" si="8"/>
        <v>5.4721521739130426E-2</v>
      </c>
      <c r="M18">
        <f>Static!$E$2</f>
        <v>5.073094162780286E-4</v>
      </c>
      <c r="N18">
        <f t="shared" ca="1" si="6"/>
        <v>0.21577610652090407</v>
      </c>
      <c r="O18">
        <f t="shared" ca="1" si="3"/>
        <v>1.7650934586964928</v>
      </c>
    </row>
    <row r="19" spans="1:15" x14ac:dyDescent="0.3">
      <c r="A19">
        <v>49.3</v>
      </c>
      <c r="B19">
        <v>188</v>
      </c>
      <c r="C19">
        <f>0.2*Static!$M$2*9.81*B19-Static!$L$2</f>
        <v>223.54164730611797</v>
      </c>
      <c r="D19">
        <f t="shared" si="7"/>
        <v>5.6702391304347823E-2</v>
      </c>
      <c r="E19">
        <f>Static!$E$2</f>
        <v>5.073094162780286E-4</v>
      </c>
      <c r="F19">
        <v>68.025999999999996</v>
      </c>
      <c r="G19">
        <f t="shared" ca="1" si="0"/>
        <v>68.026799999999994</v>
      </c>
      <c r="H19">
        <f t="shared" ca="1" si="1"/>
        <v>5.4304263788714204E-2</v>
      </c>
      <c r="I19">
        <f t="shared" ca="1" si="2"/>
        <v>214.08734806118008</v>
      </c>
      <c r="J19">
        <f ca="1">ROUND((I19+Static!$L$2)/(0.2*Static!$M$2*9.81),0)</f>
        <v>183</v>
      </c>
      <c r="K19">
        <f ca="1">0.2*Static!$M$2*9.81*J19-Static!$L$2</f>
        <v>213.78000331895123</v>
      </c>
      <c r="L19">
        <f t="shared" ca="1" si="8"/>
        <v>5.4226304347826083E-2</v>
      </c>
      <c r="M19">
        <f>Static!$E$2</f>
        <v>5.073094162780286E-4</v>
      </c>
      <c r="N19">
        <f t="shared" ca="1" si="6"/>
        <v>7.7959440888120124E-2</v>
      </c>
      <c r="O19">
        <f t="shared" ca="1" si="3"/>
        <v>2.398127515633619</v>
      </c>
    </row>
    <row r="20" spans="1:15" x14ac:dyDescent="0.3">
      <c r="A20">
        <v>49.3</v>
      </c>
      <c r="B20">
        <v>188</v>
      </c>
      <c r="C20">
        <f>0.2*Static!$M$2*9.81*B20-Static!$L$2</f>
        <v>223.54164730611797</v>
      </c>
      <c r="D20">
        <f t="shared" si="7"/>
        <v>5.6702391304347823E-2</v>
      </c>
      <c r="E20">
        <f>Static!$E$2</f>
        <v>5.073094162780286E-4</v>
      </c>
      <c r="F20">
        <v>68.025999999999996</v>
      </c>
      <c r="G20">
        <f t="shared" ca="1" si="0"/>
        <v>68.014200000000002</v>
      </c>
      <c r="H20">
        <f t="shared" ca="1" si="1"/>
        <v>5.4294205492223149E-2</v>
      </c>
      <c r="I20">
        <f t="shared" ca="1" si="2"/>
        <v>214.04769456306508</v>
      </c>
      <c r="J20">
        <f ca="1">ROUND((I20+Static!$L$2)/(0.2*Static!$M$2*9.81),0)</f>
        <v>183</v>
      </c>
      <c r="K20">
        <f ca="1">0.2*Static!$M$2*9.81*J20-Static!$L$2</f>
        <v>213.78000331895123</v>
      </c>
      <c r="L20">
        <f t="shared" ca="1" si="8"/>
        <v>5.4226304347826083E-2</v>
      </c>
      <c r="M20">
        <f>Static!$E$2</f>
        <v>5.073094162780286E-4</v>
      </c>
      <c r="N20">
        <f t="shared" ca="1" si="6"/>
        <v>6.7901144397065905E-2</v>
      </c>
      <c r="O20">
        <f t="shared" ca="1" si="3"/>
        <v>2.4081858121246733</v>
      </c>
    </row>
    <row r="21" spans="1:15" x14ac:dyDescent="0.3">
      <c r="A21">
        <v>49.3</v>
      </c>
      <c r="B21">
        <v>188</v>
      </c>
      <c r="C21">
        <f>0.2*Static!$M$2*9.81*B21-Static!$L$2</f>
        <v>223.54164730611797</v>
      </c>
      <c r="D21">
        <f t="shared" si="7"/>
        <v>5.6702391304347823E-2</v>
      </c>
      <c r="E21">
        <f>Static!$E$2</f>
        <v>5.073094162780286E-4</v>
      </c>
      <c r="F21">
        <v>68.025999999999996</v>
      </c>
      <c r="G21">
        <f t="shared" ca="1" si="0"/>
        <v>68.040199999999999</v>
      </c>
      <c r="H21">
        <f t="shared" ca="1" si="1"/>
        <v>5.4314960707204693E-2</v>
      </c>
      <c r="I21">
        <f t="shared" ca="1" si="2"/>
        <v>214.12951924171512</v>
      </c>
      <c r="J21">
        <f ca="1">ROUND((I21+Static!$L$2)/(0.2*Static!$M$2*9.81),0)</f>
        <v>183</v>
      </c>
      <c r="K21">
        <f ca="1">0.2*Static!$M$2*9.81*J21-Static!$L$2</f>
        <v>213.78000331895123</v>
      </c>
      <c r="L21">
        <f t="shared" ca="1" si="8"/>
        <v>5.4226304347826083E-2</v>
      </c>
      <c r="M21">
        <f>Static!$E$2</f>
        <v>5.073094162780286E-4</v>
      </c>
      <c r="N21">
        <f t="shared" ca="1" si="6"/>
        <v>8.8656359378609662E-2</v>
      </c>
      <c r="O21">
        <f t="shared" ca="1" si="3"/>
        <v>2.3874305971431293</v>
      </c>
    </row>
    <row r="22" spans="1:15" x14ac:dyDescent="0.3">
      <c r="A22">
        <v>54.3</v>
      </c>
      <c r="B22">
        <v>187</v>
      </c>
      <c r="C22">
        <f>0.2*Static!$M$2*9.81*B22-Static!$L$2</f>
        <v>221.58931850868458</v>
      </c>
      <c r="D22">
        <f t="shared" si="7"/>
        <v>5.6207173913043466E-2</v>
      </c>
      <c r="E22">
        <f>Static!$E$2</f>
        <v>5.073094162780286E-4</v>
      </c>
      <c r="F22">
        <v>67.165999999999997</v>
      </c>
      <c r="G22">
        <f t="shared" ca="1" si="0"/>
        <v>67.170999999999992</v>
      </c>
      <c r="H22">
        <f t="shared" ca="1" si="1"/>
        <v>5.3621097904821655E-2</v>
      </c>
      <c r="I22">
        <f t="shared" ca="1" si="2"/>
        <v>211.39405729238371</v>
      </c>
      <c r="J22">
        <f ca="1">ROUND((I22+Static!$L$2)/(0.2*Static!$M$2*9.81),0)</f>
        <v>182</v>
      </c>
      <c r="K22">
        <f ca="1">0.2*Static!$M$2*9.81*J22-Static!$L$2</f>
        <v>211.82767452151785</v>
      </c>
      <c r="L22">
        <f t="shared" ca="1" si="8"/>
        <v>5.3731086956521727E-2</v>
      </c>
      <c r="M22">
        <f>Static!$E$2</f>
        <v>5.073094162780286E-4</v>
      </c>
      <c r="N22">
        <f t="shared" ca="1" si="6"/>
        <v>-0.10998905170007262</v>
      </c>
      <c r="O22">
        <f t="shared" ca="1" si="3"/>
        <v>2.5860760082218119</v>
      </c>
    </row>
    <row r="23" spans="1:15" x14ac:dyDescent="0.3">
      <c r="A23">
        <v>54.3</v>
      </c>
      <c r="B23">
        <v>187</v>
      </c>
      <c r="C23">
        <f>0.2*Static!$M$2*9.81*B23-Static!$L$2</f>
        <v>221.58931850868458</v>
      </c>
      <c r="D23">
        <f t="shared" si="7"/>
        <v>5.6207173913043466E-2</v>
      </c>
      <c r="E23">
        <f>Static!$E$2</f>
        <v>5.073094162780286E-4</v>
      </c>
      <c r="F23">
        <v>67.165999999999997</v>
      </c>
      <c r="G23">
        <f t="shared" ca="1" si="0"/>
        <v>67.167199999999994</v>
      </c>
      <c r="H23">
        <f t="shared" ca="1" si="1"/>
        <v>5.3618064450324347E-2</v>
      </c>
      <c r="I23">
        <f t="shared" ca="1" si="2"/>
        <v>211.38209830088869</v>
      </c>
      <c r="J23">
        <f ca="1">ROUND((I23+Static!$L$2)/(0.2*Static!$M$2*9.81),0)</f>
        <v>182</v>
      </c>
      <c r="K23">
        <f ca="1">0.2*Static!$M$2*9.81*J23-Static!$L$2</f>
        <v>211.82767452151785</v>
      </c>
      <c r="L23">
        <f t="shared" ca="1" si="8"/>
        <v>5.3731086956521727E-2</v>
      </c>
      <c r="M23">
        <f>Static!$E$2</f>
        <v>5.073094162780286E-4</v>
      </c>
      <c r="N23">
        <f t="shared" ca="1" si="6"/>
        <v>-0.11302250619737997</v>
      </c>
      <c r="O23">
        <f t="shared" ca="1" si="3"/>
        <v>2.5891094627191191</v>
      </c>
    </row>
    <row r="24" spans="1:15" x14ac:dyDescent="0.3">
      <c r="A24">
        <v>54.3</v>
      </c>
      <c r="B24">
        <v>186</v>
      </c>
      <c r="C24">
        <f>0.2*Static!$M$2*9.81*B24-Static!$L$2</f>
        <v>219.63698971125126</v>
      </c>
      <c r="D24">
        <f t="shared" si="7"/>
        <v>5.5711956521739124E-2</v>
      </c>
      <c r="E24">
        <f>Static!$E$2</f>
        <v>5.073094162780286E-4</v>
      </c>
      <c r="F24">
        <v>67.165999999999997</v>
      </c>
      <c r="G24">
        <f t="shared" ca="1" si="0"/>
        <v>67.176199999999994</v>
      </c>
      <c r="H24">
        <f t="shared" ca="1" si="1"/>
        <v>5.3625248947817963E-2</v>
      </c>
      <c r="I24">
        <f t="shared" ca="1" si="2"/>
        <v>211.4104222281137</v>
      </c>
      <c r="J24">
        <f ca="1">ROUND((I24+Static!$L$2)/(0.2*Static!$M$2*9.81),0)</f>
        <v>182</v>
      </c>
      <c r="K24">
        <f ca="1">0.2*Static!$M$2*9.81*J24-Static!$L$2</f>
        <v>211.82767452151785</v>
      </c>
      <c r="L24">
        <f t="shared" ca="1" si="8"/>
        <v>5.3731086956521727E-2</v>
      </c>
      <c r="M24">
        <f>Static!$E$2</f>
        <v>5.073094162780286E-4</v>
      </c>
      <c r="N24">
        <f t="shared" ca="1" si="6"/>
        <v>-0.10583800870376386</v>
      </c>
      <c r="O24">
        <f t="shared" ca="1" si="3"/>
        <v>2.0867075739211609</v>
      </c>
    </row>
    <row r="25" spans="1:15" x14ac:dyDescent="0.3">
      <c r="A25">
        <v>59</v>
      </c>
      <c r="B25">
        <v>185</v>
      </c>
      <c r="C25">
        <f>0.2*Static!$M$2*9.81*B25-Static!$L$2</f>
        <v>217.68466091381788</v>
      </c>
      <c r="D25">
        <f t="shared" si="7"/>
        <v>5.5216739130434768E-2</v>
      </c>
      <c r="E25">
        <f>Static!$E$2</f>
        <v>5.073094162780286E-4</v>
      </c>
      <c r="F25">
        <v>66.352999999999994</v>
      </c>
      <c r="G25">
        <f t="shared" ca="1" si="0"/>
        <v>66.340799999999987</v>
      </c>
      <c r="H25">
        <f t="shared" ca="1" si="1"/>
        <v>5.2958367924910932E-2</v>
      </c>
      <c r="I25">
        <f t="shared" ca="1" si="2"/>
        <v>208.78133236102735</v>
      </c>
      <c r="J25">
        <f ca="1">ROUND((I25+Static!$L$2)/(0.2*Static!$M$2*9.81),0)</f>
        <v>180</v>
      </c>
      <c r="K25">
        <f ca="1">0.2*Static!$M$2*9.81*J25-Static!$L$2</f>
        <v>207.9230169266512</v>
      </c>
      <c r="L25">
        <f t="shared" ca="1" si="8"/>
        <v>5.2740652173913043E-2</v>
      </c>
      <c r="M25">
        <f>Static!$E$2</f>
        <v>5.073094162780286E-4</v>
      </c>
      <c r="N25">
        <f t="shared" ca="1" si="6"/>
        <v>0.21771575099788915</v>
      </c>
      <c r="O25">
        <f t="shared" ca="1" si="3"/>
        <v>2.2583712055238361</v>
      </c>
    </row>
    <row r="26" spans="1:15" x14ac:dyDescent="0.3">
      <c r="A26">
        <v>59</v>
      </c>
      <c r="B26">
        <v>185</v>
      </c>
      <c r="C26">
        <f>0.2*Static!$M$2*9.81*B26-Static!$L$2</f>
        <v>217.68466091381788</v>
      </c>
      <c r="D26">
        <f t="shared" si="7"/>
        <v>5.5216739130434768E-2</v>
      </c>
      <c r="E26">
        <f>Static!$E$2</f>
        <v>5.073094162780286E-4</v>
      </c>
      <c r="F26">
        <v>66.352999999999994</v>
      </c>
      <c r="G26">
        <f t="shared" ca="1" si="0"/>
        <v>66.341799999999992</v>
      </c>
      <c r="H26">
        <f t="shared" ca="1" si="1"/>
        <v>5.2959166202410222E-2</v>
      </c>
      <c r="I26">
        <f t="shared" ca="1" si="2"/>
        <v>208.78447946405234</v>
      </c>
      <c r="J26">
        <f ca="1">ROUND((I26+Static!$L$2)/(0.2*Static!$M$2*9.81),0)</f>
        <v>180</v>
      </c>
      <c r="K26">
        <f ca="1">0.2*Static!$M$2*9.81*J26-Static!$L$2</f>
        <v>207.9230169266512</v>
      </c>
      <c r="L26">
        <f t="shared" ca="1" si="8"/>
        <v>5.2740652173913043E-2</v>
      </c>
      <c r="M26">
        <f>Static!$E$2</f>
        <v>5.073094162780286E-4</v>
      </c>
      <c r="N26">
        <f t="shared" ca="1" si="6"/>
        <v>0.21851402849717982</v>
      </c>
      <c r="O26">
        <f t="shared" ca="1" si="3"/>
        <v>2.2575729280245453</v>
      </c>
    </row>
    <row r="27" spans="1:15" x14ac:dyDescent="0.3">
      <c r="A27">
        <v>59</v>
      </c>
      <c r="B27">
        <v>185</v>
      </c>
      <c r="C27">
        <f>0.2*Static!$M$2*9.81*B27-Static!$L$2</f>
        <v>217.68466091381788</v>
      </c>
      <c r="D27">
        <f t="shared" si="7"/>
        <v>5.5216739130434768E-2</v>
      </c>
      <c r="E27">
        <f>Static!$E$2</f>
        <v>5.073094162780286E-4</v>
      </c>
      <c r="F27">
        <v>66.352999999999994</v>
      </c>
      <c r="G27">
        <f t="shared" ca="1" si="0"/>
        <v>66.365799999999993</v>
      </c>
      <c r="H27">
        <f t="shared" ca="1" si="1"/>
        <v>5.2978324862393185E-2</v>
      </c>
      <c r="I27">
        <f t="shared" ca="1" si="2"/>
        <v>208.86000993665238</v>
      </c>
      <c r="J27">
        <f ca="1">ROUND((I27+Static!$L$2)/(0.2*Static!$M$2*9.81),0)</f>
        <v>180</v>
      </c>
      <c r="K27">
        <f ca="1">0.2*Static!$M$2*9.81*J27-Static!$L$2</f>
        <v>207.9230169266512</v>
      </c>
      <c r="L27">
        <f t="shared" ca="1" si="8"/>
        <v>5.2740652173913043E-2</v>
      </c>
      <c r="M27">
        <f>Static!$E$2</f>
        <v>5.073094162780286E-4</v>
      </c>
      <c r="N27">
        <f t="shared" ca="1" si="6"/>
        <v>0.23767268848014222</v>
      </c>
      <c r="O27">
        <f t="shared" ca="1" si="3"/>
        <v>2.2384142680415833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7A06-9021-4D7D-AC2D-4C976D50CFB2}">
  <dimension ref="A1:E10"/>
  <sheetViews>
    <sheetView workbookViewId="0">
      <selection activeCell="B10" sqref="B10"/>
    </sheetView>
  </sheetViews>
  <sheetFormatPr defaultRowHeight="14.4" x14ac:dyDescent="0.3"/>
  <sheetData>
    <row r="1" spans="1:5" x14ac:dyDescent="0.3">
      <c r="A1" t="s">
        <v>0</v>
      </c>
      <c r="B1" t="s">
        <v>7</v>
      </c>
      <c r="C1" t="s">
        <v>16</v>
      </c>
      <c r="D1" t="s">
        <v>17</v>
      </c>
      <c r="E1" t="s">
        <v>18</v>
      </c>
    </row>
    <row r="2" spans="1:5" x14ac:dyDescent="0.3">
      <c r="A2">
        <v>19</v>
      </c>
      <c r="B2">
        <f>AVERAGE(exp!D2:D3)</f>
        <v>5.818804347826087E-2</v>
      </c>
      <c r="C2">
        <f>(B3-B2)/(A3-A2)</f>
        <v>-2.3581780538303336E-5</v>
      </c>
      <c r="D2">
        <f>-C2*A2</f>
        <v>4.480538302277634E-4</v>
      </c>
      <c r="E2">
        <f>B2-D2</f>
        <v>5.7739989648033105E-2</v>
      </c>
    </row>
    <row r="3" spans="1:5" x14ac:dyDescent="0.3">
      <c r="A3">
        <v>26</v>
      </c>
      <c r="B3">
        <f>AVERAGE(exp!D4:D6)</f>
        <v>5.8022971014492747E-2</v>
      </c>
      <c r="C3">
        <f t="shared" ref="C3:C9" si="0">(B4-B3)/(A4-A3)</f>
        <v>-4.7163561076606673E-5</v>
      </c>
      <c r="D3">
        <f t="shared" ref="D3:D9" si="1">-C3*A3</f>
        <v>1.2262525879917735E-3</v>
      </c>
      <c r="E3">
        <f t="shared" ref="E3:E9" si="2">B3-D3</f>
        <v>5.6796718426500976E-2</v>
      </c>
    </row>
    <row r="4" spans="1:5" x14ac:dyDescent="0.3">
      <c r="A4">
        <v>29.5</v>
      </c>
      <c r="B4">
        <f>AVERAGE(exp!D7:D9)</f>
        <v>5.7857898550724624E-2</v>
      </c>
      <c r="C4">
        <f t="shared" si="0"/>
        <v>-6.6028985507245172E-5</v>
      </c>
      <c r="D4">
        <f t="shared" si="1"/>
        <v>1.9478550724637326E-3</v>
      </c>
      <c r="E4">
        <f t="shared" si="2"/>
        <v>5.5910043478260889E-2</v>
      </c>
    </row>
    <row r="5" spans="1:5" x14ac:dyDescent="0.3">
      <c r="A5">
        <v>34.5</v>
      </c>
      <c r="B5">
        <f>AVERAGE(exp!D10:D12)</f>
        <v>5.7527753623188398E-2</v>
      </c>
      <c r="C5">
        <f t="shared" si="0"/>
        <v>-3.3688257911860502E-5</v>
      </c>
      <c r="D5">
        <f t="shared" si="1"/>
        <v>1.1622448979591873E-3</v>
      </c>
      <c r="E5">
        <f t="shared" si="2"/>
        <v>5.6365508725229212E-2</v>
      </c>
    </row>
    <row r="6" spans="1:5" x14ac:dyDescent="0.3">
      <c r="A6">
        <v>39.4</v>
      </c>
      <c r="B6">
        <f>AVERAGE(exp!D13:D15)</f>
        <v>5.7362681159420281E-2</v>
      </c>
      <c r="C6">
        <f t="shared" si="0"/>
        <v>-6.6028985507245172E-5</v>
      </c>
      <c r="D6">
        <f t="shared" si="1"/>
        <v>2.6015420289854595E-3</v>
      </c>
      <c r="E6">
        <f t="shared" si="2"/>
        <v>5.4761139130434823E-2</v>
      </c>
    </row>
    <row r="7" spans="1:5" x14ac:dyDescent="0.3">
      <c r="A7">
        <v>44.4</v>
      </c>
      <c r="B7">
        <f>AVERAGE(exp!D16:D18)</f>
        <v>5.7032536231884055E-2</v>
      </c>
      <c r="C7">
        <f t="shared" si="0"/>
        <v>-6.7376515823721004E-5</v>
      </c>
      <c r="D7">
        <f t="shared" si="1"/>
        <v>2.9915173025732125E-3</v>
      </c>
      <c r="E7">
        <f t="shared" si="2"/>
        <v>5.404101892931084E-2</v>
      </c>
    </row>
    <row r="8" spans="1:5" x14ac:dyDescent="0.3">
      <c r="A8">
        <v>49.3</v>
      </c>
      <c r="B8">
        <f>AVERAGE(exp!D19:D21)</f>
        <v>5.6702391304347823E-2</v>
      </c>
      <c r="C8">
        <f t="shared" si="0"/>
        <v>-1.3205797101449452E-4</v>
      </c>
      <c r="D8">
        <f t="shared" si="1"/>
        <v>6.5104579710145794E-3</v>
      </c>
      <c r="E8">
        <f t="shared" si="2"/>
        <v>5.0191933333333244E-2</v>
      </c>
    </row>
    <row r="9" spans="1:5" x14ac:dyDescent="0.3">
      <c r="A9">
        <v>54.3</v>
      </c>
      <c r="B9">
        <f>AVERAGE(exp!D22:D24)</f>
        <v>5.604210144927535E-2</v>
      </c>
      <c r="C9">
        <f t="shared" si="0"/>
        <v>-1.7560900400863437E-4</v>
      </c>
      <c r="D9">
        <f t="shared" si="1"/>
        <v>9.5355689176688466E-3</v>
      </c>
      <c r="E9">
        <f t="shared" si="2"/>
        <v>4.6506532531606505E-2</v>
      </c>
    </row>
    <row r="10" spans="1:5" x14ac:dyDescent="0.3">
      <c r="A10">
        <v>59</v>
      </c>
      <c r="B10">
        <f>AVERAGE(exp!D25:D27)</f>
        <v>5.5216739130434768E-2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BAFC-3E6A-4456-A776-3E3D0E1110A3}">
  <dimension ref="A1:M4"/>
  <sheetViews>
    <sheetView workbookViewId="0">
      <selection activeCell="F3" sqref="F3"/>
    </sheetView>
  </sheetViews>
  <sheetFormatPr defaultRowHeight="14.4" x14ac:dyDescent="0.3"/>
  <cols>
    <col min="5" max="5" width="10" bestFit="1" customWidth="1"/>
  </cols>
  <sheetData>
    <row r="1" spans="1:13" x14ac:dyDescent="0.3">
      <c r="A1" t="s">
        <v>12</v>
      </c>
      <c r="B1" t="s">
        <v>14</v>
      </c>
      <c r="C1" t="s">
        <v>8</v>
      </c>
      <c r="D1" t="s">
        <v>9</v>
      </c>
      <c r="E1" t="s">
        <v>2</v>
      </c>
      <c r="F1" t="s">
        <v>14</v>
      </c>
      <c r="G1" t="s">
        <v>4</v>
      </c>
      <c r="H1" t="s">
        <v>3</v>
      </c>
      <c r="I1" t="s">
        <v>5</v>
      </c>
      <c r="J1" t="s">
        <v>6</v>
      </c>
      <c r="K1" t="s">
        <v>11</v>
      </c>
      <c r="L1" t="s">
        <v>4</v>
      </c>
      <c r="M1" t="s">
        <v>13</v>
      </c>
    </row>
    <row r="2" spans="1:13" x14ac:dyDescent="0.3">
      <c r="A2">
        <f>0.2</f>
        <v>0.2</v>
      </c>
      <c r="B2">
        <v>46</v>
      </c>
      <c r="C2">
        <f>22.78/1000</f>
        <v>2.2780000000000002E-2</v>
      </c>
      <c r="D2">
        <f>A2*B2*M2*9.81</f>
        <v>89.807124681933871</v>
      </c>
      <c r="E2">
        <f>2*C2/(D2)</f>
        <v>5.073094162780286E-4</v>
      </c>
      <c r="F2">
        <v>120</v>
      </c>
      <c r="G2">
        <f>A2*F2*$M$2*9.81</f>
        <v>234.27945569200136</v>
      </c>
      <c r="H2">
        <f>$E$2*G2/2</f>
        <v>5.942608695652174E-2</v>
      </c>
      <c r="I2">
        <v>191</v>
      </c>
      <c r="J2">
        <f>I2*A3*M2*9.81</f>
        <v>372.89480030976887</v>
      </c>
      <c r="K2">
        <f>(2.5-1)/100</f>
        <v>1.4999999999999999E-2</v>
      </c>
      <c r="L2">
        <f>-AVERAGE(G2:G3)+J2</f>
        <v>143.49616661135087</v>
      </c>
      <c r="M2">
        <f>0.8095/0.81351</f>
        <v>0.99507074283045083</v>
      </c>
    </row>
    <row r="3" spans="1:13" x14ac:dyDescent="0.3">
      <c r="A3">
        <v>0.2</v>
      </c>
      <c r="D3" t="s">
        <v>10</v>
      </c>
      <c r="E3">
        <f>18/20/1000/2</f>
        <v>4.4999999999999999E-4</v>
      </c>
      <c r="F3">
        <v>115</v>
      </c>
      <c r="G3">
        <f>A3*F3*$M$2*9.81</f>
        <v>224.51781170483463</v>
      </c>
      <c r="H3">
        <f>$E$2*G3/2</f>
        <v>5.6949999999999994E-2</v>
      </c>
      <c r="K3">
        <f>L2/K2/9.81</f>
        <v>975.16932797384209</v>
      </c>
    </row>
    <row r="4" spans="1:13" x14ac:dyDescent="0.3">
      <c r="F4">
        <v>113</v>
      </c>
      <c r="G4">
        <f>A3*F4*$M$2*9.81</f>
        <v>220.61315410996795</v>
      </c>
      <c r="H4">
        <f>$E$2*G4/2</f>
        <v>5.5959565217391302E-2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exp</vt:lpstr>
      <vt:lpstr>exp2</vt:lpstr>
      <vt:lpstr>Static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2015-06-05T18:19:34Z</dcterms:created>
  <dcterms:modified xsi:type="dcterms:W3CDTF">2025-04-21T19:45:36Z</dcterms:modified>
</cp:coreProperties>
</file>