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Files\MIPT_Labs\Thermadinamics\Lab_phys_2.5.1\"/>
    </mc:Choice>
  </mc:AlternateContent>
  <xr:revisionPtr revIDLastSave="0" documentId="13_ncr:1_{3BBC1EA7-82B2-4E39-B335-27770D98CC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xp" sheetId="1" r:id="rId1"/>
    <sheet name="exp2" sheetId="3" r:id="rId2"/>
    <sheet name="Static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J4" i="2"/>
  <c r="D3" i="1"/>
  <c r="H3" i="1" s="1"/>
  <c r="D4" i="1"/>
  <c r="D5" i="1"/>
  <c r="D6" i="1"/>
  <c r="H6" i="1" s="1"/>
  <c r="D7" i="1"/>
  <c r="H7" i="1" s="1"/>
  <c r="D8" i="1"/>
  <c r="D9" i="1"/>
  <c r="D10" i="1"/>
  <c r="H10" i="1" s="1"/>
  <c r="D11" i="1"/>
  <c r="H11" i="1" s="1"/>
  <c r="D12" i="1"/>
  <c r="D13" i="1"/>
  <c r="D14" i="1"/>
  <c r="H14" i="1" s="1"/>
  <c r="D15" i="1"/>
  <c r="H15" i="1" s="1"/>
  <c r="D16" i="1"/>
  <c r="D17" i="1"/>
  <c r="D18" i="1"/>
  <c r="H18" i="1" s="1"/>
  <c r="D19" i="1"/>
  <c r="H19" i="1" s="1"/>
  <c r="D20" i="1"/>
  <c r="D21" i="1"/>
  <c r="D22" i="1"/>
  <c r="H22" i="1" s="1"/>
  <c r="D23" i="1"/>
  <c r="H23" i="1" s="1"/>
  <c r="D24" i="1"/>
  <c r="D25" i="1"/>
  <c r="D26" i="1"/>
  <c r="H26" i="1" s="1"/>
  <c r="D27" i="1"/>
  <c r="H27" i="1" s="1"/>
  <c r="D2" i="1"/>
  <c r="H4" i="1"/>
  <c r="H5" i="1"/>
  <c r="H8" i="1"/>
  <c r="H9" i="1"/>
  <c r="H12" i="1"/>
  <c r="H13" i="1"/>
  <c r="H16" i="1"/>
  <c r="H17" i="1"/>
  <c r="H20" i="1"/>
  <c r="H21" i="1"/>
  <c r="H24" i="1"/>
  <c r="H25" i="1"/>
  <c r="H2" i="1"/>
  <c r="D4" i="2"/>
  <c r="C4" i="2"/>
  <c r="D2" i="2"/>
  <c r="E4" i="2"/>
  <c r="C2" i="1"/>
  <c r="C3" i="1"/>
  <c r="E2" i="1" l="1"/>
  <c r="E2" i="2"/>
  <c r="G4" i="2"/>
  <c r="M2" i="2"/>
  <c r="K2" i="2"/>
  <c r="J2" i="2"/>
  <c r="G3" i="2"/>
  <c r="E3" i="2"/>
  <c r="A2" i="2"/>
  <c r="C2" i="2"/>
  <c r="G2" i="2" l="1"/>
  <c r="E7" i="1"/>
  <c r="E14" i="1"/>
  <c r="E9" i="1"/>
  <c r="L2" i="2"/>
  <c r="C27" i="1" l="1"/>
  <c r="C20" i="1"/>
  <c r="C21" i="1"/>
  <c r="C24" i="1"/>
  <c r="G24" i="1" s="1"/>
  <c r="C16" i="1"/>
  <c r="C26" i="1"/>
  <c r="C23" i="1"/>
  <c r="C19" i="1"/>
  <c r="G19" i="1" s="1"/>
  <c r="C18" i="1"/>
  <c r="C22" i="1"/>
  <c r="C25" i="1"/>
  <c r="G25" i="1" s="1"/>
  <c r="E16" i="1"/>
  <c r="E25" i="1"/>
  <c r="E22" i="1"/>
  <c r="E24" i="1"/>
  <c r="E23" i="1"/>
  <c r="E26" i="1"/>
  <c r="E27" i="1"/>
  <c r="E20" i="1"/>
  <c r="E18" i="1"/>
  <c r="E19" i="1"/>
  <c r="E21" i="1"/>
  <c r="H4" i="2"/>
  <c r="H2" i="2"/>
  <c r="C7" i="1"/>
  <c r="G7" i="1" s="1"/>
  <c r="C11" i="1"/>
  <c r="C4" i="1"/>
  <c r="K3" i="2"/>
  <c r="C5" i="1"/>
  <c r="C9" i="1"/>
  <c r="G9" i="1" s="1"/>
  <c r="C13" i="1"/>
  <c r="C17" i="1"/>
  <c r="C10" i="1"/>
  <c r="C14" i="1"/>
  <c r="G14" i="1" s="1"/>
  <c r="C6" i="1"/>
  <c r="C15" i="1"/>
  <c r="C8" i="1"/>
  <c r="C12" i="1"/>
  <c r="E13" i="1"/>
  <c r="E8" i="1"/>
  <c r="E11" i="1"/>
  <c r="E5" i="1"/>
  <c r="E17" i="1"/>
  <c r="E10" i="1"/>
  <c r="E6" i="1"/>
  <c r="E15" i="1"/>
  <c r="H3" i="2"/>
  <c r="E4" i="1"/>
  <c r="E12" i="1"/>
  <c r="E3" i="1"/>
  <c r="G4" i="1" l="1"/>
  <c r="G3" i="1"/>
  <c r="B2" i="3" s="1"/>
  <c r="G5" i="1"/>
  <c r="G23" i="1"/>
  <c r="G16" i="1"/>
  <c r="G15" i="1"/>
  <c r="G8" i="1"/>
  <c r="B4" i="3" s="1"/>
  <c r="G13" i="1"/>
  <c r="G21" i="1"/>
  <c r="G26" i="1"/>
  <c r="B10" i="3" s="1"/>
  <c r="G20" i="1"/>
  <c r="G22" i="1"/>
  <c r="G12" i="1"/>
  <c r="G6" i="1"/>
  <c r="G18" i="1"/>
  <c r="G27" i="1"/>
  <c r="G11" i="1"/>
  <c r="G10" i="1"/>
  <c r="B5" i="3" s="1"/>
  <c r="G17" i="1"/>
  <c r="B6" i="3" l="1"/>
  <c r="B8" i="3"/>
  <c r="B7" i="3"/>
  <c r="B3" i="3"/>
  <c r="C2" i="3" s="1"/>
  <c r="C4" i="3"/>
  <c r="B9" i="3"/>
  <c r="C6" i="3" l="1"/>
  <c r="C5" i="3"/>
  <c r="D5" i="3" s="1"/>
  <c r="E5" i="3" s="1"/>
  <c r="C8" i="3"/>
  <c r="D8" i="3" s="1"/>
  <c r="E8" i="3" s="1"/>
  <c r="C7" i="3"/>
  <c r="D7" i="3" s="1"/>
  <c r="E7" i="3" s="1"/>
  <c r="E2" i="3"/>
  <c r="D6" i="3"/>
  <c r="E6" i="3" s="1"/>
  <c r="C9" i="3"/>
  <c r="D4" i="3"/>
  <c r="E4" i="3" s="1"/>
  <c r="C3" i="3"/>
  <c r="D9" i="3" l="1"/>
  <c r="E9" i="3" s="1"/>
  <c r="D3" i="3"/>
  <c r="E3" i="3" s="1"/>
</calcChain>
</file>

<file path=xl/sharedStrings.xml><?xml version="1.0" encoding="utf-8"?>
<sst xmlns="http://schemas.openxmlformats.org/spreadsheetml/2006/main" count="27" uniqueCount="22">
  <si>
    <t>T</t>
  </si>
  <si>
    <t>Tk</t>
  </si>
  <si>
    <t>r</t>
  </si>
  <si>
    <t>sigmA</t>
  </si>
  <si>
    <t>dP</t>
  </si>
  <si>
    <t>dp2</t>
  </si>
  <si>
    <t>dP2</t>
  </si>
  <si>
    <t>sigm</t>
  </si>
  <si>
    <t>sigmS</t>
  </si>
  <si>
    <t>dPS</t>
  </si>
  <si>
    <t>microscope</t>
  </si>
  <si>
    <t>dh</t>
  </si>
  <si>
    <t>K</t>
  </si>
  <si>
    <t>gm</t>
  </si>
  <si>
    <t>dp</t>
  </si>
  <si>
    <t>p</t>
  </si>
  <si>
    <t>ds/dt</t>
  </si>
  <si>
    <t>q</t>
  </si>
  <si>
    <t>U/F</t>
  </si>
  <si>
    <t>sigP</t>
  </si>
  <si>
    <t>sr</t>
  </si>
  <si>
    <t>ssigm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</si>
</sst>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'exp2'!$B$1</c:f>
              <c:strCache>
                <c:ptCount val="1"/>
                <c:pt idx="0">
                  <c:v>sigm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'exp2'!$A$2:$A$10</c:f>
              <c:numCache>
                <c:formatCode>General</c:formatCode>
                <c:ptCount val="9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  <c:pt idx="8">
                  <c:v>59</c:v>
                </c:pt>
              </c:numCache>
            </c:numRef>
          </c:xVal>
          <c:yVal>
            <c:numRef>
              <c:f>'exp2'!$B$2:$B$10</c:f>
              <c:numCache>
                <c:formatCode>General</c:formatCode>
                <c:ptCount val="9"/>
                <c:pt idx="0">
                  <c:v>5.8930869565217391E-2</c:v>
                </c:pt>
                <c:pt idx="1">
                  <c:v>5.8765797101449274E-2</c:v>
                </c:pt>
                <c:pt idx="2">
                  <c:v>5.8600724637681151E-2</c:v>
                </c:pt>
                <c:pt idx="3">
                  <c:v>5.8270579710144911E-2</c:v>
                </c:pt>
                <c:pt idx="4">
                  <c:v>5.8105507246376802E-2</c:v>
                </c:pt>
                <c:pt idx="5">
                  <c:v>5.7775362318840569E-2</c:v>
                </c:pt>
                <c:pt idx="6">
                  <c:v>5.7445217391304343E-2</c:v>
                </c:pt>
                <c:pt idx="7">
                  <c:v>5.6784927536231877E-2</c:v>
                </c:pt>
                <c:pt idx="8">
                  <c:v>5.5959565217391288E-2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62-484D-BFFD-3BED9E595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0823080"/>
        <c:axId val="485026904"/>
      </c:scatterChart>
      <c:valAx>
        <c:axId val="340823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5026904"/>
        <c:crosses val="autoZero"/>
        <c:crossBetween val="midCat"/>
      </c:valAx>
      <c:valAx>
        <c:axId val="485026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0823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'exp2'!$E$1</c:f>
              <c:strCache>
                <c:ptCount val="1"/>
                <c:pt idx="0">
                  <c:v>U/F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'exp2'!$A$2:$A$9</c:f>
              <c:numCache>
                <c:formatCode>General</c:formatCode>
                <c:ptCount val="8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</c:numCache>
            </c:numRef>
          </c:xVal>
          <c:yVal>
            <c:numRef>
              <c:f>'exp2'!$E$2:$E$9</c:f>
              <c:numCache>
                <c:formatCode>General</c:formatCode>
                <c:ptCount val="8"/>
                <c:pt idx="0">
                  <c:v>5.8930869565217391E-2</c:v>
                </c:pt>
                <c:pt idx="1">
                  <c:v>5.7539544513457504E-2</c:v>
                </c:pt>
                <c:pt idx="2">
                  <c:v>5.665286956521734E-2</c:v>
                </c:pt>
                <c:pt idx="3">
                  <c:v>5.7108334812185774E-2</c:v>
                </c:pt>
                <c:pt idx="4">
                  <c:v>5.5503965217391288E-2</c:v>
                </c:pt>
                <c:pt idx="5">
                  <c:v>5.4783845016267423E-2</c:v>
                </c:pt>
                <c:pt idx="6">
                  <c:v>5.0934759420289834E-2</c:v>
                </c:pt>
                <c:pt idx="7">
                  <c:v>4.7249358618562956E-2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A-4EAC-81B5-A22088CC4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720216"/>
        <c:axId val="496719856"/>
      </c:scatterChart>
      <c:valAx>
        <c:axId val="496720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719856"/>
        <c:crosses val="autoZero"/>
        <c:crossBetween val="midCat"/>
      </c:valAx>
      <c:valAx>
        <c:axId val="4967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96720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'exp2'!$D$1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'exp2'!$A$2:$A$9</c:f>
              <c:numCache>
                <c:formatCode>General</c:formatCode>
                <c:ptCount val="8"/>
                <c:pt idx="0">
                  <c:v>19</c:v>
                </c:pt>
                <c:pt idx="1">
                  <c:v>26</c:v>
                </c:pt>
                <c:pt idx="2">
                  <c:v>29.5</c:v>
                </c:pt>
                <c:pt idx="3">
                  <c:v>34.5</c:v>
                </c:pt>
                <c:pt idx="4">
                  <c:v>39.4</c:v>
                </c:pt>
                <c:pt idx="5">
                  <c:v>44.4</c:v>
                </c:pt>
                <c:pt idx="6">
                  <c:v>49.3</c:v>
                </c:pt>
                <c:pt idx="7">
                  <c:v>54.3</c:v>
                </c:pt>
              </c:numCache>
            </c:numRef>
          </c:xVal>
          <c:yVal>
            <c:numRef>
              <c:f>'exp2'!$D$2:$D$9</c:f>
              <c:numCache>
                <c:formatCode>General</c:formatCode>
                <c:ptCount val="8"/>
                <c:pt idx="1">
                  <c:v>1.2262525879917735E-3</c:v>
                </c:pt>
                <c:pt idx="2">
                  <c:v>1.9478550724638145E-3</c:v>
                </c:pt>
                <c:pt idx="3">
                  <c:v>1.1622448979591385E-3</c:v>
                </c:pt>
                <c:pt idx="4">
                  <c:v>2.6015420289855146E-3</c:v>
                </c:pt>
                <c:pt idx="5">
                  <c:v>2.9915173025731492E-3</c:v>
                </c:pt>
                <c:pt idx="6">
                  <c:v>6.5104579710145109E-3</c:v>
                </c:pt>
                <c:pt idx="7">
                  <c:v>9.5355689176689247E-3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81-41FD-B916-93D243456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042216"/>
        <c:axId val="341032856"/>
      </c:scatterChart>
      <c:valAx>
        <c:axId val="341042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32856"/>
        <c:crosses val="autoZero"/>
        <c:crossBetween val="midCat"/>
      </c:valAx>
      <c:valAx>
        <c:axId val="34103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042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83820</xdr:colOff>
      <xdr:row>4</xdr:row>
      <xdr:rowOff>34290</xdr:rowOff>
    </xdr:from>
    <xdr:to>
      <xdr:col>24</xdr:col>
      <xdr:colOff>388620</xdr:colOff>
      <xdr:row>19</xdr:row>
      <xdr:rowOff>34290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AC4282B-6D63-B924-4D20-6CBAB7324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167640</xdr:colOff>
      <xdr:row>16</xdr:row>
      <xdr:rowOff>3810</xdr:rowOff>
    </xdr:from>
    <xdr:to>
      <xdr:col>14</xdr:col>
      <xdr:colOff>472440</xdr:colOff>
      <xdr:row>31</xdr:row>
      <xdr:rowOff>3810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EECBFD9-014F-E5A5-FBD6-CBFECF8EE8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1</xdr:row>
      <xdr:rowOff>49530</xdr:rowOff>
    </xdr:from>
    <xdr:to>
      <xdr:col>13</xdr:col>
      <xdr:colOff>457200</xdr:colOff>
      <xdr:row>16</xdr:row>
      <xdr:rowOff>49530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BCF4CE-3EE6-BCF3-B6BA-22AA79EB01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sqref="A1:H27"/>
    </sheetView>
  </sheetViews>
  <sheetFormatPr defaultRowHeight="14.4" x14ac:dyDescent="0.3"/>
  <sheetData>
    <row r="1" spans="1:8" x14ac:dyDescent="0.3">
      <c r="A1" t="s">
        <v>1</v>
      </c>
      <c r="B1" t="s">
        <v>15</v>
      </c>
      <c r="C1" t="s">
        <v>4</v>
      </c>
      <c r="D1" t="s">
        <v>19</v>
      </c>
      <c r="E1" t="s">
        <v>2</v>
      </c>
      <c r="F1" t="s">
        <v>20</v>
      </c>
      <c r="G1" t="s">
        <v>7</v>
      </c>
      <c r="H1" t="s">
        <v>21</v>
      </c>
    </row>
    <row r="2" spans="1:8" x14ac:dyDescent="0.3">
      <c r="A2">
        <v>19</v>
      </c>
      <c r="B2">
        <v>191</v>
      </c>
      <c r="C2">
        <f>0.2*Static!$M$2*9.81*B2-Static!$L$2</f>
        <v>232.32712689456801</v>
      </c>
      <c r="D2">
        <f>0.2*Static!$M$2*9.81*SQRT(3)/C2</f>
        <v>1.4555048803099808E-2</v>
      </c>
      <c r="E2" s="1">
        <f>Static!$E$2</f>
        <v>5.073094162780286E-4</v>
      </c>
      <c r="F2">
        <v>0.02</v>
      </c>
      <c r="G2">
        <f>(C2*E2)/2</f>
        <v>5.8930869565217391E-2</v>
      </c>
      <c r="H2">
        <f>SQRT(D2*D2+F2*F2)</f>
        <v>2.4735590667308051E-2</v>
      </c>
    </row>
    <row r="3" spans="1:8" x14ac:dyDescent="0.3">
      <c r="A3">
        <v>19</v>
      </c>
      <c r="B3">
        <v>191</v>
      </c>
      <c r="C3">
        <f>0.2*Static!$M$2*9.81*B3-Static!$L$2</f>
        <v>232.32712689456801</v>
      </c>
      <c r="D3">
        <f>0.2*Static!$M$2*9.81*SQRT(3)/C3</f>
        <v>1.4555048803099808E-2</v>
      </c>
      <c r="E3" s="1">
        <f>Static!$E$2</f>
        <v>5.073094162780286E-4</v>
      </c>
      <c r="F3">
        <v>0.02</v>
      </c>
      <c r="G3">
        <f>(C3*E3)/2</f>
        <v>5.8930869565217391E-2</v>
      </c>
      <c r="H3">
        <f t="shared" ref="H3:H27" si="0">SQRT(D3*D3+F3*F3)</f>
        <v>2.4735590667308051E-2</v>
      </c>
    </row>
    <row r="4" spans="1:8" x14ac:dyDescent="0.3">
      <c r="A4">
        <v>26</v>
      </c>
      <c r="B4">
        <v>191</v>
      </c>
      <c r="C4">
        <f>0.2*Static!$M$2*9.81*B4-Static!$L$2</f>
        <v>232.32712689456801</v>
      </c>
      <c r="D4">
        <f>0.2*Static!$M$2*9.81*SQRT(3)/C4</f>
        <v>1.4555048803099808E-2</v>
      </c>
      <c r="E4" s="1">
        <f>Static!$E$2</f>
        <v>5.073094162780286E-4</v>
      </c>
      <c r="F4">
        <v>0.02</v>
      </c>
      <c r="G4">
        <f>(C4*E4)/2</f>
        <v>5.8930869565217391E-2</v>
      </c>
      <c r="H4">
        <f t="shared" si="0"/>
        <v>2.4735590667308051E-2</v>
      </c>
    </row>
    <row r="5" spans="1:8" x14ac:dyDescent="0.3">
      <c r="A5">
        <v>26</v>
      </c>
      <c r="B5">
        <v>190</v>
      </c>
      <c r="C5">
        <f>0.2*Static!$M$2*9.81*B5-Static!$L$2</f>
        <v>230.37479809713463</v>
      </c>
      <c r="D5">
        <f>0.2*Static!$M$2*9.81*SQRT(3)/C5</f>
        <v>1.4678396674312521E-2</v>
      </c>
      <c r="E5" s="1">
        <f>Static!$E$2</f>
        <v>5.073094162780286E-4</v>
      </c>
      <c r="F5">
        <v>0.02</v>
      </c>
      <c r="G5">
        <f>(C5*E5)/2</f>
        <v>5.8435652173913034E-2</v>
      </c>
      <c r="H5">
        <f t="shared" si="0"/>
        <v>2.4808372153941678E-2</v>
      </c>
    </row>
    <row r="6" spans="1:8" x14ac:dyDescent="0.3">
      <c r="A6">
        <v>26</v>
      </c>
      <c r="B6">
        <v>191</v>
      </c>
      <c r="C6">
        <f>0.2*Static!$M$2*9.81*B6-Static!$L$2</f>
        <v>232.32712689456801</v>
      </c>
      <c r="D6">
        <f>0.2*Static!$M$2*9.81*SQRT(3)/C6</f>
        <v>1.4555048803099808E-2</v>
      </c>
      <c r="E6" s="1">
        <f>Static!$E$2</f>
        <v>5.073094162780286E-4</v>
      </c>
      <c r="F6">
        <v>0.02</v>
      </c>
      <c r="G6">
        <f>(C6*E6)/2</f>
        <v>5.8930869565217391E-2</v>
      </c>
      <c r="H6">
        <f t="shared" si="0"/>
        <v>2.4735590667308051E-2</v>
      </c>
    </row>
    <row r="7" spans="1:8" x14ac:dyDescent="0.3">
      <c r="A7">
        <v>29.5</v>
      </c>
      <c r="B7">
        <v>191</v>
      </c>
      <c r="C7">
        <f>0.2*Static!$M$2*9.81*B7-Static!$L$2</f>
        <v>232.32712689456801</v>
      </c>
      <c r="D7">
        <f>0.2*Static!$M$2*9.81*SQRT(3)/C7</f>
        <v>1.4555048803099808E-2</v>
      </c>
      <c r="E7" s="1">
        <f>Static!$E$2</f>
        <v>5.073094162780286E-4</v>
      </c>
      <c r="F7">
        <v>0.02</v>
      </c>
      <c r="G7">
        <f>(C7*E7)/2</f>
        <v>5.8930869565217391E-2</v>
      </c>
      <c r="H7">
        <f t="shared" si="0"/>
        <v>2.4735590667308051E-2</v>
      </c>
    </row>
    <row r="8" spans="1:8" x14ac:dyDescent="0.3">
      <c r="A8">
        <v>29.5</v>
      </c>
      <c r="B8">
        <v>190</v>
      </c>
      <c r="C8">
        <f>0.2*Static!$M$2*9.81*B8-Static!$L$2</f>
        <v>230.37479809713463</v>
      </c>
      <c r="D8">
        <f>0.2*Static!$M$2*9.81*SQRT(3)/C8</f>
        <v>1.4678396674312521E-2</v>
      </c>
      <c r="E8" s="1">
        <f>Static!$E$2</f>
        <v>5.073094162780286E-4</v>
      </c>
      <c r="F8">
        <v>0.02</v>
      </c>
      <c r="G8">
        <f>(C8*E8)/2</f>
        <v>5.8435652173913034E-2</v>
      </c>
      <c r="H8">
        <f t="shared" si="0"/>
        <v>2.4808372153941678E-2</v>
      </c>
    </row>
    <row r="9" spans="1:8" x14ac:dyDescent="0.3">
      <c r="A9">
        <v>29.5</v>
      </c>
      <c r="B9">
        <v>190</v>
      </c>
      <c r="C9">
        <f>0.2*Static!$M$2*9.81*B9-Static!$L$2</f>
        <v>230.37479809713463</v>
      </c>
      <c r="D9">
        <f>0.2*Static!$M$2*9.81*SQRT(3)/C9</f>
        <v>1.4678396674312521E-2</v>
      </c>
      <c r="E9" s="1">
        <f>Static!$E$2</f>
        <v>5.073094162780286E-4</v>
      </c>
      <c r="F9">
        <v>0.02</v>
      </c>
      <c r="G9">
        <f>(C9*E9)/2</f>
        <v>5.8435652173913034E-2</v>
      </c>
      <c r="H9">
        <f t="shared" si="0"/>
        <v>2.4808372153941678E-2</v>
      </c>
    </row>
    <row r="10" spans="1:8" x14ac:dyDescent="0.3">
      <c r="A10">
        <v>34.5</v>
      </c>
      <c r="B10">
        <v>190</v>
      </c>
      <c r="C10">
        <f>0.2*Static!$M$2*9.81*B10-Static!$L$2</f>
        <v>230.37479809713463</v>
      </c>
      <c r="D10">
        <f>0.2*Static!$M$2*9.81*SQRT(3)/C10</f>
        <v>1.4678396674312521E-2</v>
      </c>
      <c r="E10" s="1">
        <f>Static!$E$2</f>
        <v>5.073094162780286E-4</v>
      </c>
      <c r="F10">
        <v>0.02</v>
      </c>
      <c r="G10">
        <f>(C10*E10)/2</f>
        <v>5.8435652173913034E-2</v>
      </c>
      <c r="H10">
        <f t="shared" si="0"/>
        <v>2.4808372153941678E-2</v>
      </c>
    </row>
    <row r="11" spans="1:8" x14ac:dyDescent="0.3">
      <c r="A11">
        <v>34.5</v>
      </c>
      <c r="B11">
        <v>190</v>
      </c>
      <c r="C11">
        <f>0.2*Static!$M$2*9.81*B11-Static!$L$2</f>
        <v>230.37479809713463</v>
      </c>
      <c r="D11">
        <f>0.2*Static!$M$2*9.81*SQRT(3)/C11</f>
        <v>1.4678396674312521E-2</v>
      </c>
      <c r="E11" s="1">
        <f>Static!$E$2</f>
        <v>5.073094162780286E-4</v>
      </c>
      <c r="F11">
        <v>0.02</v>
      </c>
      <c r="G11">
        <f>(C11*E11)/2</f>
        <v>5.8435652173913034E-2</v>
      </c>
      <c r="H11">
        <f t="shared" si="0"/>
        <v>2.4808372153941678E-2</v>
      </c>
    </row>
    <row r="12" spans="1:8" x14ac:dyDescent="0.3">
      <c r="A12">
        <v>34.5</v>
      </c>
      <c r="B12">
        <v>189</v>
      </c>
      <c r="C12">
        <f>0.2*Static!$M$2*9.81*B12-Static!$L$2</f>
        <v>228.42246929970131</v>
      </c>
      <c r="D12">
        <f>0.2*Static!$M$2*9.81*SQRT(3)/C12</f>
        <v>1.4803853056144251E-2</v>
      </c>
      <c r="E12" s="1">
        <f>Static!$E$2</f>
        <v>5.073094162780286E-4</v>
      </c>
      <c r="F12">
        <v>0.02</v>
      </c>
      <c r="G12">
        <f>(C12*E12)/2</f>
        <v>5.7940434782608685E-2</v>
      </c>
      <c r="H12">
        <f t="shared" si="0"/>
        <v>2.4882806620393761E-2</v>
      </c>
    </row>
    <row r="13" spans="1:8" x14ac:dyDescent="0.3">
      <c r="A13">
        <v>39.4</v>
      </c>
      <c r="B13">
        <v>190</v>
      </c>
      <c r="C13">
        <f>0.2*Static!$M$2*9.81*B13-Static!$L$2</f>
        <v>230.37479809713463</v>
      </c>
      <c r="D13">
        <f>0.2*Static!$M$2*9.81*SQRT(3)/C13</f>
        <v>1.4678396674312521E-2</v>
      </c>
      <c r="E13" s="1">
        <f>Static!$E$2</f>
        <v>5.073094162780286E-4</v>
      </c>
      <c r="F13">
        <v>0.02</v>
      </c>
      <c r="G13">
        <f>(C13*E13)/2</f>
        <v>5.8435652173913034E-2</v>
      </c>
      <c r="H13">
        <f t="shared" si="0"/>
        <v>2.4808372153941678E-2</v>
      </c>
    </row>
    <row r="14" spans="1:8" x14ac:dyDescent="0.3">
      <c r="A14">
        <v>39.4</v>
      </c>
      <c r="B14">
        <v>189</v>
      </c>
      <c r="C14">
        <f>0.2*Static!$M$2*9.81*B14-Static!$L$2</f>
        <v>228.42246929970131</v>
      </c>
      <c r="D14">
        <f>0.2*Static!$M$2*9.81*SQRT(3)/C14</f>
        <v>1.4803853056144251E-2</v>
      </c>
      <c r="E14" s="1">
        <f>Static!$E$2</f>
        <v>5.073094162780286E-4</v>
      </c>
      <c r="F14">
        <v>0.02</v>
      </c>
      <c r="G14">
        <f>(C14*E14)/2</f>
        <v>5.7940434782608685E-2</v>
      </c>
      <c r="H14">
        <f t="shared" si="0"/>
        <v>2.4882806620393761E-2</v>
      </c>
    </row>
    <row r="15" spans="1:8" x14ac:dyDescent="0.3">
      <c r="A15">
        <v>39.4</v>
      </c>
      <c r="B15">
        <v>189</v>
      </c>
      <c r="C15">
        <f>0.2*Static!$M$2*9.81*B15-Static!$L$2</f>
        <v>228.42246929970131</v>
      </c>
      <c r="D15">
        <f>0.2*Static!$M$2*9.81*SQRT(3)/C15</f>
        <v>1.4803853056144251E-2</v>
      </c>
      <c r="E15" s="1">
        <f>Static!$E$2</f>
        <v>5.073094162780286E-4</v>
      </c>
      <c r="F15">
        <v>0.02</v>
      </c>
      <c r="G15">
        <f>(C15*E15)/2</f>
        <v>5.7940434782608685E-2</v>
      </c>
      <c r="H15">
        <f t="shared" si="0"/>
        <v>2.4882806620393761E-2</v>
      </c>
    </row>
    <row r="16" spans="1:8" x14ac:dyDescent="0.3">
      <c r="A16">
        <v>44.4</v>
      </c>
      <c r="B16">
        <v>189</v>
      </c>
      <c r="C16">
        <f>0.2*Static!$M$2*9.81*B16-Static!$L$2</f>
        <v>228.42246929970131</v>
      </c>
      <c r="D16">
        <f>0.2*Static!$M$2*9.81*SQRT(3)/C16</f>
        <v>1.4803853056144251E-2</v>
      </c>
      <c r="E16" s="1">
        <f>Static!$E$2</f>
        <v>5.073094162780286E-4</v>
      </c>
      <c r="F16">
        <v>0.02</v>
      </c>
      <c r="G16">
        <f>(C16*E16)/2</f>
        <v>5.7940434782608685E-2</v>
      </c>
      <c r="H16">
        <f t="shared" si="0"/>
        <v>2.4882806620393761E-2</v>
      </c>
    </row>
    <row r="17" spans="1:8" x14ac:dyDescent="0.3">
      <c r="A17">
        <v>44.4</v>
      </c>
      <c r="B17">
        <v>189</v>
      </c>
      <c r="C17">
        <f>0.2*Static!$M$2*9.81*B17-Static!$L$2</f>
        <v>228.42246929970131</v>
      </c>
      <c r="D17">
        <f>0.2*Static!$M$2*9.81*SQRT(3)/C17</f>
        <v>1.4803853056144251E-2</v>
      </c>
      <c r="E17" s="1">
        <f>Static!$E$2</f>
        <v>5.073094162780286E-4</v>
      </c>
      <c r="F17">
        <v>0.02</v>
      </c>
      <c r="G17">
        <f>(C17*E17)/2</f>
        <v>5.7940434782608685E-2</v>
      </c>
      <c r="H17">
        <f t="shared" si="0"/>
        <v>2.4882806620393761E-2</v>
      </c>
    </row>
    <row r="18" spans="1:8" x14ac:dyDescent="0.3">
      <c r="A18">
        <v>44.4</v>
      </c>
      <c r="B18">
        <v>188</v>
      </c>
      <c r="C18">
        <f>0.2*Static!$M$2*9.81*B18-Static!$L$2</f>
        <v>226.47014050226798</v>
      </c>
      <c r="D18">
        <f>0.2*Static!$M$2*9.81*SQRT(3)/C18</f>
        <v>1.4931472479042045E-2</v>
      </c>
      <c r="E18" s="1">
        <f>Static!$E$2</f>
        <v>5.073094162780286E-4</v>
      </c>
      <c r="F18">
        <v>0.02</v>
      </c>
      <c r="G18">
        <f>(C18*E18)/2</f>
        <v>5.7445217391304343E-2</v>
      </c>
      <c r="H18">
        <f t="shared" si="0"/>
        <v>2.4958943695444925E-2</v>
      </c>
    </row>
    <row r="19" spans="1:8" x14ac:dyDescent="0.3">
      <c r="A19">
        <v>49.3</v>
      </c>
      <c r="B19">
        <v>188</v>
      </c>
      <c r="C19">
        <f>0.2*Static!$M$2*9.81*B19-Static!$L$2</f>
        <v>226.47014050226798</v>
      </c>
      <c r="D19">
        <f>0.2*Static!$M$2*9.81*SQRT(3)/C19</f>
        <v>1.4931472479042045E-2</v>
      </c>
      <c r="E19" s="1">
        <f>Static!$E$2</f>
        <v>5.073094162780286E-4</v>
      </c>
      <c r="F19">
        <v>0.02</v>
      </c>
      <c r="G19">
        <f>(C19*E19)/2</f>
        <v>5.7445217391304343E-2</v>
      </c>
      <c r="H19">
        <f t="shared" si="0"/>
        <v>2.4958943695444925E-2</v>
      </c>
    </row>
    <row r="20" spans="1:8" x14ac:dyDescent="0.3">
      <c r="A20">
        <v>49.3</v>
      </c>
      <c r="B20">
        <v>188</v>
      </c>
      <c r="C20">
        <f>0.2*Static!$M$2*9.81*B20-Static!$L$2</f>
        <v>226.47014050226798</v>
      </c>
      <c r="D20">
        <f>0.2*Static!$M$2*9.81*SQRT(3)/C20</f>
        <v>1.4931472479042045E-2</v>
      </c>
      <c r="E20" s="1">
        <f>Static!$E$2</f>
        <v>5.073094162780286E-4</v>
      </c>
      <c r="F20">
        <v>0.02</v>
      </c>
      <c r="G20">
        <f>(C20*E20)/2</f>
        <v>5.7445217391304343E-2</v>
      </c>
      <c r="H20">
        <f t="shared" si="0"/>
        <v>2.4958943695444925E-2</v>
      </c>
    </row>
    <row r="21" spans="1:8" x14ac:dyDescent="0.3">
      <c r="A21">
        <v>49.3</v>
      </c>
      <c r="B21">
        <v>188</v>
      </c>
      <c r="C21">
        <f>0.2*Static!$M$2*9.81*B21-Static!$L$2</f>
        <v>226.47014050226798</v>
      </c>
      <c r="D21">
        <f>0.2*Static!$M$2*9.81*SQRT(3)/C21</f>
        <v>1.4931472479042045E-2</v>
      </c>
      <c r="E21" s="1">
        <f>Static!$E$2</f>
        <v>5.073094162780286E-4</v>
      </c>
      <c r="F21">
        <v>0.02</v>
      </c>
      <c r="G21">
        <f>(C21*E21)/2</f>
        <v>5.7445217391304343E-2</v>
      </c>
      <c r="H21">
        <f t="shared" si="0"/>
        <v>2.4958943695444925E-2</v>
      </c>
    </row>
    <row r="22" spans="1:8" x14ac:dyDescent="0.3">
      <c r="A22">
        <v>54.3</v>
      </c>
      <c r="B22">
        <v>187</v>
      </c>
      <c r="C22">
        <f>0.2*Static!$M$2*9.81*B22-Static!$L$2</f>
        <v>224.5178117048346</v>
      </c>
      <c r="D22">
        <f>0.2*Static!$M$2*9.81*SQRT(3)/C22</f>
        <v>1.5061311370164152E-2</v>
      </c>
      <c r="E22" s="1">
        <f>Static!$E$2</f>
        <v>5.073094162780286E-4</v>
      </c>
      <c r="F22">
        <v>0.02</v>
      </c>
      <c r="G22">
        <f>(C22*E22)/2</f>
        <v>5.6949999999999987E-2</v>
      </c>
      <c r="H22">
        <f t="shared" si="0"/>
        <v>2.5036834867631252E-2</v>
      </c>
    </row>
    <row r="23" spans="1:8" x14ac:dyDescent="0.3">
      <c r="A23">
        <v>54.3</v>
      </c>
      <c r="B23">
        <v>187</v>
      </c>
      <c r="C23">
        <f>0.2*Static!$M$2*9.81*B23-Static!$L$2</f>
        <v>224.5178117048346</v>
      </c>
      <c r="D23">
        <f>0.2*Static!$M$2*9.81*SQRT(3)/C23</f>
        <v>1.5061311370164152E-2</v>
      </c>
      <c r="E23" s="1">
        <f>Static!$E$2</f>
        <v>5.073094162780286E-4</v>
      </c>
      <c r="F23">
        <v>0.02</v>
      </c>
      <c r="G23">
        <f>(C23*E23)/2</f>
        <v>5.6949999999999987E-2</v>
      </c>
      <c r="H23">
        <f t="shared" si="0"/>
        <v>2.5036834867631252E-2</v>
      </c>
    </row>
    <row r="24" spans="1:8" x14ac:dyDescent="0.3">
      <c r="A24">
        <v>54.3</v>
      </c>
      <c r="B24">
        <v>186</v>
      </c>
      <c r="C24">
        <f>0.2*Static!$M$2*9.81*B24-Static!$L$2</f>
        <v>222.56548290740128</v>
      </c>
      <c r="D24">
        <f>0.2*Static!$M$2*9.81*SQRT(3)/C24</f>
        <v>1.51934281365691E-2</v>
      </c>
      <c r="E24" s="1">
        <f>Static!$E$2</f>
        <v>5.073094162780286E-4</v>
      </c>
      <c r="F24">
        <v>0.02</v>
      </c>
      <c r="G24">
        <f>(C24*E24)/2</f>
        <v>5.6454782608695644E-2</v>
      </c>
      <c r="H24">
        <f t="shared" si="0"/>
        <v>2.5116533569366009E-2</v>
      </c>
    </row>
    <row r="25" spans="1:8" x14ac:dyDescent="0.3">
      <c r="A25">
        <v>59</v>
      </c>
      <c r="B25">
        <v>185</v>
      </c>
      <c r="C25">
        <f>0.2*Static!$M$2*9.81*B25-Static!$L$2</f>
        <v>220.61315410996789</v>
      </c>
      <c r="D25">
        <f>0.2*Static!$M$2*9.81*SQRT(3)/C25</f>
        <v>1.5327883252821925E-2</v>
      </c>
      <c r="E25" s="1">
        <f>Static!$E$2</f>
        <v>5.073094162780286E-4</v>
      </c>
      <c r="F25">
        <v>0.02</v>
      </c>
      <c r="G25">
        <f>(C25*E25)/2</f>
        <v>5.5959565217391288E-2</v>
      </c>
      <c r="H25">
        <f t="shared" si="0"/>
        <v>2.5198095265558048E-2</v>
      </c>
    </row>
    <row r="26" spans="1:8" x14ac:dyDescent="0.3">
      <c r="A26">
        <v>59</v>
      </c>
      <c r="B26">
        <v>185</v>
      </c>
      <c r="C26">
        <f>0.2*Static!$M$2*9.81*B26-Static!$L$2</f>
        <v>220.61315410996789</v>
      </c>
      <c r="D26">
        <f>0.2*Static!$M$2*9.81*SQRT(3)/C26</f>
        <v>1.5327883252821925E-2</v>
      </c>
      <c r="E26" s="1">
        <f>Static!$E$2</f>
        <v>5.073094162780286E-4</v>
      </c>
      <c r="F26">
        <v>0.02</v>
      </c>
      <c r="G26">
        <f>(C26*E26)/2</f>
        <v>5.5959565217391288E-2</v>
      </c>
      <c r="H26">
        <f t="shared" si="0"/>
        <v>2.5198095265558048E-2</v>
      </c>
    </row>
    <row r="27" spans="1:8" x14ac:dyDescent="0.3">
      <c r="A27">
        <v>59</v>
      </c>
      <c r="B27">
        <v>185</v>
      </c>
      <c r="C27">
        <f>0.2*Static!$M$2*9.81*B27-Static!$L$2</f>
        <v>220.61315410996789</v>
      </c>
      <c r="D27">
        <f>0.2*Static!$M$2*9.81*SQRT(3)/C27</f>
        <v>1.5327883252821925E-2</v>
      </c>
      <c r="E27" s="1">
        <f>Static!$E$2</f>
        <v>5.073094162780286E-4</v>
      </c>
      <c r="F27">
        <v>0.02</v>
      </c>
      <c r="G27">
        <f>(C27*E27)/2</f>
        <v>5.5959565217391288E-2</v>
      </c>
      <c r="H27">
        <f t="shared" si="0"/>
        <v>2.5198095265558048E-2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B7A06-9021-4D7D-AC2D-4C976D50CFB2}">
  <dimension ref="A1:E10"/>
  <sheetViews>
    <sheetView topLeftCell="D1" workbookViewId="0">
      <selection activeCell="D2" sqref="D2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16</v>
      </c>
      <c r="D1" t="s">
        <v>17</v>
      </c>
      <c r="E1" t="s">
        <v>18</v>
      </c>
    </row>
    <row r="2" spans="1:5" x14ac:dyDescent="0.3">
      <c r="A2">
        <v>19</v>
      </c>
      <c r="B2">
        <f>AVERAGE(exp!G2:G3)</f>
        <v>5.8930869565217391E-2</v>
      </c>
      <c r="C2">
        <f>(B3-B2)/(A3-A2)</f>
        <v>-2.3581780538302344E-5</v>
      </c>
      <c r="E2">
        <f>B2-D2</f>
        <v>5.8930869565217391E-2</v>
      </c>
    </row>
    <row r="3" spans="1:5" x14ac:dyDescent="0.3">
      <c r="A3">
        <v>26</v>
      </c>
      <c r="B3">
        <f>AVERAGE(exp!G4:G6)</f>
        <v>5.8765797101449274E-2</v>
      </c>
      <c r="C3">
        <f t="shared" ref="C3:C9" si="0">(B4-B3)/(A4-A3)</f>
        <v>-4.7163561076606673E-5</v>
      </c>
      <c r="D3">
        <f t="shared" ref="D3:D9" si="1">-C3*A3</f>
        <v>1.2262525879917735E-3</v>
      </c>
      <c r="E3">
        <f t="shared" ref="E3:E9" si="2">B3-D3</f>
        <v>5.7539544513457504E-2</v>
      </c>
    </row>
    <row r="4" spans="1:5" x14ac:dyDescent="0.3">
      <c r="A4">
        <v>29.5</v>
      </c>
      <c r="B4">
        <f>AVERAGE(exp!G7:G9)</f>
        <v>5.8600724637681151E-2</v>
      </c>
      <c r="C4">
        <f t="shared" si="0"/>
        <v>-6.602898550724795E-5</v>
      </c>
      <c r="D4">
        <f t="shared" si="1"/>
        <v>1.9478550724638145E-3</v>
      </c>
      <c r="E4">
        <f t="shared" si="2"/>
        <v>5.665286956521734E-2</v>
      </c>
    </row>
    <row r="5" spans="1:5" x14ac:dyDescent="0.3">
      <c r="A5">
        <v>34.5</v>
      </c>
      <c r="B5">
        <f>AVERAGE(exp!G10:G12)</f>
        <v>5.8270579710144911E-2</v>
      </c>
      <c r="C5">
        <f t="shared" si="0"/>
        <v>-3.3688257911859086E-5</v>
      </c>
      <c r="D5">
        <f t="shared" si="1"/>
        <v>1.1622448979591385E-3</v>
      </c>
      <c r="E5">
        <f t="shared" si="2"/>
        <v>5.7108334812185774E-2</v>
      </c>
    </row>
    <row r="6" spans="1:5" x14ac:dyDescent="0.3">
      <c r="A6">
        <v>39.4</v>
      </c>
      <c r="B6">
        <f>AVERAGE(exp!G13:G15)</f>
        <v>5.8105507246376802E-2</v>
      </c>
      <c r="C6">
        <f t="shared" si="0"/>
        <v>-6.6028985507246568E-5</v>
      </c>
      <c r="D6">
        <f t="shared" si="1"/>
        <v>2.6015420289855146E-3</v>
      </c>
      <c r="E6">
        <f t="shared" si="2"/>
        <v>5.5503965217391288E-2</v>
      </c>
    </row>
    <row r="7" spans="1:5" x14ac:dyDescent="0.3">
      <c r="A7">
        <v>44.4</v>
      </c>
      <c r="B7">
        <f>AVERAGE(exp!G16:G18)</f>
        <v>5.7775362318840569E-2</v>
      </c>
      <c r="C7">
        <f t="shared" si="0"/>
        <v>-6.737651582371958E-5</v>
      </c>
      <c r="D7">
        <f t="shared" si="1"/>
        <v>2.9915173025731492E-3</v>
      </c>
      <c r="E7">
        <f t="shared" si="2"/>
        <v>5.4783845016267423E-2</v>
      </c>
    </row>
    <row r="8" spans="1:5" x14ac:dyDescent="0.3">
      <c r="A8">
        <v>49.3</v>
      </c>
      <c r="B8">
        <f>AVERAGE(exp!G19:G21)</f>
        <v>5.7445217391304343E-2</v>
      </c>
      <c r="C8">
        <f t="shared" si="0"/>
        <v>-1.3205797101449314E-4</v>
      </c>
      <c r="D8">
        <f t="shared" si="1"/>
        <v>6.5104579710145109E-3</v>
      </c>
      <c r="E8">
        <f t="shared" si="2"/>
        <v>5.0934759420289834E-2</v>
      </c>
    </row>
    <row r="9" spans="1:5" x14ac:dyDescent="0.3">
      <c r="A9">
        <v>54.3</v>
      </c>
      <c r="B9">
        <f>AVERAGE(exp!G22:G24)</f>
        <v>5.6784927536231877E-2</v>
      </c>
      <c r="C9">
        <f t="shared" si="0"/>
        <v>-1.7560900400863584E-4</v>
      </c>
      <c r="D9">
        <f t="shared" si="1"/>
        <v>9.5355689176689247E-3</v>
      </c>
      <c r="E9">
        <f t="shared" si="2"/>
        <v>4.7249358618562956E-2</v>
      </c>
    </row>
    <row r="10" spans="1:5" x14ac:dyDescent="0.3">
      <c r="A10">
        <v>59</v>
      </c>
      <c r="B10">
        <f>AVERAGE(exp!G25:G27)</f>
        <v>5.5959565217391288E-2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5BAFC-3E6A-4456-A776-3E3D0E1110A3}">
  <dimension ref="A1:M4"/>
  <sheetViews>
    <sheetView workbookViewId="0">
      <selection activeCell="I2" sqref="I2"/>
    </sheetView>
  </sheetViews>
  <sheetFormatPr defaultRowHeight="14.4" x14ac:dyDescent="0.3"/>
  <cols>
    <col min="5" max="5" width="10" bestFit="1" customWidth="1"/>
  </cols>
  <sheetData>
    <row r="1" spans="1:13" x14ac:dyDescent="0.3">
      <c r="A1" t="s">
        <v>12</v>
      </c>
      <c r="B1" t="s">
        <v>14</v>
      </c>
      <c r="C1" t="s">
        <v>8</v>
      </c>
      <c r="D1" t="s">
        <v>9</v>
      </c>
      <c r="E1" t="s">
        <v>2</v>
      </c>
      <c r="F1" t="s">
        <v>14</v>
      </c>
      <c r="G1" t="s">
        <v>4</v>
      </c>
      <c r="H1" t="s">
        <v>3</v>
      </c>
      <c r="I1" t="s">
        <v>5</v>
      </c>
      <c r="J1" t="s">
        <v>6</v>
      </c>
      <c r="K1" t="s">
        <v>11</v>
      </c>
      <c r="L1" t="s">
        <v>4</v>
      </c>
      <c r="M1" t="s">
        <v>13</v>
      </c>
    </row>
    <row r="2" spans="1:13" x14ac:dyDescent="0.3">
      <c r="A2">
        <f>0.2</f>
        <v>0.2</v>
      </c>
      <c r="B2">
        <v>46</v>
      </c>
      <c r="C2">
        <f>22.78/1000</f>
        <v>2.2780000000000002E-2</v>
      </c>
      <c r="D2">
        <f>A2*B2*M2*9.81</f>
        <v>89.807124681933871</v>
      </c>
      <c r="E2">
        <f>2*C2/(D2)</f>
        <v>5.073094162780286E-4</v>
      </c>
      <c r="F2">
        <v>120</v>
      </c>
      <c r="G2">
        <f>A2*F2*$M$2*9.81</f>
        <v>234.27945569200136</v>
      </c>
      <c r="H2">
        <f>$E$2*G2/2</f>
        <v>5.942608695652174E-2</v>
      </c>
      <c r="I2">
        <v>191</v>
      </c>
      <c r="J2">
        <f>I2*A3*M2*9.81</f>
        <v>372.89480030976887</v>
      </c>
      <c r="K2">
        <f>(2.5-1)/100</f>
        <v>1.4999999999999999E-2</v>
      </c>
      <c r="L2">
        <f>-AVERAGE(G2:G3)+J2</f>
        <v>140.56767341520086</v>
      </c>
      <c r="M2">
        <f>0.8095/0.81351</f>
        <v>0.99507074283045083</v>
      </c>
    </row>
    <row r="3" spans="1:13" x14ac:dyDescent="0.3">
      <c r="A3">
        <v>0.2</v>
      </c>
      <c r="D3" t="s">
        <v>10</v>
      </c>
      <c r="E3">
        <f>18/20/1000/2</f>
        <v>4.4999999999999999E-4</v>
      </c>
      <c r="F3">
        <v>118</v>
      </c>
      <c r="G3">
        <f>A3*F3*$M$2*9.81</f>
        <v>230.37479809713466</v>
      </c>
      <c r="H3">
        <f>$E$2*G3/2</f>
        <v>5.8435652173913041E-2</v>
      </c>
      <c r="K3">
        <f>L2/K2/9.81</f>
        <v>955.26791311723309</v>
      </c>
    </row>
    <row r="4" spans="1:13" x14ac:dyDescent="0.3">
      <c r="C4">
        <f>0.2*M2*9.81</f>
        <v>1.9523287974333448</v>
      </c>
      <c r="D4">
        <f>2/D2</f>
        <v>2.2269948036787907E-2</v>
      </c>
      <c r="E4">
        <f>1/20</f>
        <v>0.05</v>
      </c>
      <c r="F4">
        <v>115</v>
      </c>
      <c r="G4">
        <f>A3*F4*$M$2*9.81</f>
        <v>224.51781170483463</v>
      </c>
      <c r="H4">
        <f>$E$2*G4/2</f>
        <v>5.6949999999999994E-2</v>
      </c>
      <c r="J4">
        <f>AVERAGE(F2:F4)</f>
        <v>117.66666666666667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exp</vt:lpstr>
      <vt:lpstr>exp2</vt:lpstr>
      <vt:lpstr>Static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Daniil</dc:creator>
  <cp:lastModifiedBy>Daniil</cp:lastModifiedBy>
  <dcterms:created xsi:type="dcterms:W3CDTF">2015-06-05T18:19:34Z</dcterms:created>
  <dcterms:modified xsi:type="dcterms:W3CDTF">2025-04-22T01:14:19Z</dcterms:modified>
</cp:coreProperties>
</file>