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FBM\2\"/>
    </mc:Choice>
  </mc:AlternateContent>
  <xr:revisionPtr revIDLastSave="0" documentId="8_{3C153E1E-4C7E-42A3-9C5C-2F3F1A5DB8C9}" xr6:coauthVersionLast="47" xr6:coauthVersionMax="47" xr10:uidLastSave="{00000000-0000-0000-0000-000000000000}"/>
  <bookViews>
    <workbookView xWindow="0" yWindow="0" windowWidth="11520" windowHeight="12360" xr2:uid="{76C1C0A4-0E4B-40C8-838E-699C2201311F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  <c r="D3" i="2"/>
  <c r="D4" i="2"/>
  <c r="D5" i="2"/>
  <c r="D6" i="2"/>
  <c r="D7" i="2"/>
  <c r="D8" i="2"/>
  <c r="D9" i="2"/>
  <c r="D10" i="2"/>
  <c r="D11" i="2"/>
  <c r="D12" i="2"/>
  <c r="D2" i="2"/>
  <c r="C3" i="2"/>
  <c r="C4" i="2"/>
  <c r="C5" i="2"/>
  <c r="C6" i="2"/>
  <c r="C7" i="2"/>
  <c r="C8" i="2"/>
  <c r="C9" i="2"/>
  <c r="C10" i="2"/>
  <c r="C11" i="2"/>
  <c r="C12" i="2"/>
  <c r="C2" i="2"/>
  <c r="H3" i="1"/>
  <c r="H4" i="1"/>
  <c r="H5" i="1"/>
  <c r="H6" i="1"/>
  <c r="H7" i="1"/>
  <c r="H8" i="1"/>
  <c r="H9" i="1"/>
  <c r="H10" i="1"/>
  <c r="H11" i="1"/>
  <c r="H12" i="1"/>
  <c r="H13" i="1"/>
  <c r="H14" i="1"/>
  <c r="H2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<sst xmlns="http://schemas.openxmlformats.org/spreadsheetml/2006/main" count="16" uniqueCount="12">
  <si>
    <t>U</t>
  </si>
  <si>
    <t>DP</t>
  </si>
  <si>
    <t>DPc</t>
  </si>
  <si>
    <t>DPf</t>
  </si>
  <si>
    <t>Vf</t>
  </si>
  <si>
    <t>Vc</t>
  </si>
  <si>
    <t>V</t>
  </si>
  <si>
    <t>FP</t>
  </si>
  <si>
    <t>FV</t>
  </si>
  <si>
    <t>Re</t>
  </si>
  <si>
    <t>y</t>
  </si>
  <si>
    <t>VVc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</si>
</sst>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162F-F5BD-4F38-A8AD-00A4D8AAFCD3}">
  <dimension ref="A1:H14"/>
  <sheetViews>
    <sheetView tabSelected="1" workbookViewId="0">
      <selection activeCell="H23" sqref="H23"/>
    </sheetView>
  </sheetViews>
  <sheetFormatPr defaultRowHeight="14.4" x14ac:dyDescent="0.3"/>
  <sheetData>
    <row r="1" spans="1:8" x14ac:dyDescent="0.3">
      <c r="A1" t="s">
        <v>0</v>
      </c>
      <c r="B1" t="s">
        <v>3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9</v>
      </c>
    </row>
    <row r="2" spans="1:8" x14ac:dyDescent="0.3">
      <c r="A2">
        <v>80</v>
      </c>
      <c r="B2">
        <v>31</v>
      </c>
      <c r="C2">
        <v>38</v>
      </c>
      <c r="D2" s="1">
        <f>SQRT(B2)*1.3</f>
        <v>7.2380936716790281</v>
      </c>
      <c r="E2" s="1">
        <f>SQRT(C2)*1.3</f>
        <v>8.0137382038596687</v>
      </c>
      <c r="F2" s="1">
        <f>B2/C2</f>
        <v>0.81578947368421051</v>
      </c>
      <c r="G2" s="1">
        <f>D2/E2</f>
        <v>0.90321064745950075</v>
      </c>
      <c r="H2" s="2">
        <f>0.4*SQRT(C2)</f>
        <v>2.4657656011875906</v>
      </c>
    </row>
    <row r="3" spans="1:8" x14ac:dyDescent="0.3">
      <c r="A3">
        <v>90</v>
      </c>
      <c r="B3">
        <v>36</v>
      </c>
      <c r="C3">
        <v>44</v>
      </c>
      <c r="D3" s="1">
        <f t="shared" ref="D3:E14" si="0">SQRT(B3)*1.3</f>
        <v>7.8000000000000007</v>
      </c>
      <c r="E3" s="1">
        <f t="shared" si="0"/>
        <v>8.6232244549240402</v>
      </c>
      <c r="F3" s="1">
        <f t="shared" ref="F3:F14" si="1">B3/C3</f>
        <v>0.81818181818181823</v>
      </c>
      <c r="G3" s="1">
        <f t="shared" ref="G3:G14" si="2">D3/E3</f>
        <v>0.90453403373329089</v>
      </c>
      <c r="H3" s="2">
        <f t="shared" ref="H3:H15" si="3">0.4*SQRT(C3)</f>
        <v>2.6532998322843202</v>
      </c>
    </row>
    <row r="4" spans="1:8" x14ac:dyDescent="0.3">
      <c r="A4">
        <v>100</v>
      </c>
      <c r="B4">
        <v>44</v>
      </c>
      <c r="C4">
        <v>52</v>
      </c>
      <c r="D4" s="1">
        <f t="shared" si="0"/>
        <v>8.6232244549240402</v>
      </c>
      <c r="E4" s="1">
        <f t="shared" si="0"/>
        <v>9.3744333162063729</v>
      </c>
      <c r="F4" s="1">
        <f t="shared" si="1"/>
        <v>0.84615384615384615</v>
      </c>
      <c r="G4" s="1">
        <f t="shared" si="2"/>
        <v>0.91986621100779986</v>
      </c>
      <c r="H4" s="2">
        <f t="shared" si="3"/>
        <v>2.8844410203711917</v>
      </c>
    </row>
    <row r="5" spans="1:8" x14ac:dyDescent="0.3">
      <c r="A5">
        <v>110</v>
      </c>
      <c r="B5">
        <v>48</v>
      </c>
      <c r="C5">
        <v>60</v>
      </c>
      <c r="D5" s="1">
        <f t="shared" si="0"/>
        <v>9.0066641993581609</v>
      </c>
      <c r="E5" s="1">
        <f t="shared" si="0"/>
        <v>10.069756700139285</v>
      </c>
      <c r="F5" s="1">
        <f t="shared" si="1"/>
        <v>0.8</v>
      </c>
      <c r="G5" s="1">
        <f t="shared" si="2"/>
        <v>0.89442719099991563</v>
      </c>
      <c r="H5" s="2">
        <f t="shared" si="3"/>
        <v>3.0983866769659336</v>
      </c>
    </row>
    <row r="6" spans="1:8" x14ac:dyDescent="0.3">
      <c r="A6">
        <v>120</v>
      </c>
      <c r="B6">
        <v>50</v>
      </c>
      <c r="C6">
        <v>68</v>
      </c>
      <c r="D6" s="1">
        <f t="shared" si="0"/>
        <v>9.1923881554251192</v>
      </c>
      <c r="E6" s="1">
        <f t="shared" si="0"/>
        <v>10.720074626605918</v>
      </c>
      <c r="F6" s="1">
        <f t="shared" si="1"/>
        <v>0.73529411764705888</v>
      </c>
      <c r="G6" s="1">
        <f t="shared" si="2"/>
        <v>0.85749292571254432</v>
      </c>
      <c r="H6" s="2">
        <f t="shared" si="3"/>
        <v>3.2984845004941286</v>
      </c>
    </row>
    <row r="7" spans="1:8" x14ac:dyDescent="0.3">
      <c r="A7">
        <v>130</v>
      </c>
      <c r="B7">
        <v>49</v>
      </c>
      <c r="C7">
        <v>77</v>
      </c>
      <c r="D7" s="1">
        <f t="shared" si="0"/>
        <v>9.1</v>
      </c>
      <c r="E7" s="1">
        <f t="shared" si="0"/>
        <v>11.407453703609759</v>
      </c>
      <c r="F7" s="1">
        <f t="shared" si="1"/>
        <v>0.63636363636363635</v>
      </c>
      <c r="G7" s="1">
        <f t="shared" si="2"/>
        <v>0.7977240352174656</v>
      </c>
      <c r="H7" s="2">
        <f t="shared" si="3"/>
        <v>3.5099857549568494</v>
      </c>
    </row>
    <row r="8" spans="1:8" x14ac:dyDescent="0.3">
      <c r="A8">
        <v>140</v>
      </c>
      <c r="B8">
        <v>49</v>
      </c>
      <c r="C8">
        <v>85</v>
      </c>
      <c r="D8" s="1">
        <f t="shared" si="0"/>
        <v>9.1</v>
      </c>
      <c r="E8" s="1">
        <f t="shared" si="0"/>
        <v>11.985407794480754</v>
      </c>
      <c r="F8" s="1">
        <f t="shared" si="1"/>
        <v>0.57647058823529407</v>
      </c>
      <c r="G8" s="1">
        <f t="shared" si="2"/>
        <v>0.75925660236529657</v>
      </c>
      <c r="H8" s="2">
        <f t="shared" si="3"/>
        <v>3.687817782917155</v>
      </c>
    </row>
    <row r="9" spans="1:8" x14ac:dyDescent="0.3">
      <c r="A9">
        <v>150</v>
      </c>
      <c r="B9">
        <v>52</v>
      </c>
      <c r="C9">
        <v>93</v>
      </c>
      <c r="D9" s="1">
        <f t="shared" si="0"/>
        <v>9.3744333162063729</v>
      </c>
      <c r="E9" s="1">
        <f t="shared" si="0"/>
        <v>12.536745989290841</v>
      </c>
      <c r="F9" s="1">
        <f t="shared" si="1"/>
        <v>0.55913978494623651</v>
      </c>
      <c r="G9" s="1">
        <f t="shared" si="2"/>
        <v>0.74775650110596614</v>
      </c>
      <c r="H9" s="2">
        <f t="shared" si="3"/>
        <v>3.8574603043971822</v>
      </c>
    </row>
    <row r="10" spans="1:8" x14ac:dyDescent="0.3">
      <c r="A10">
        <v>160</v>
      </c>
      <c r="B10">
        <v>55</v>
      </c>
      <c r="C10">
        <v>102</v>
      </c>
      <c r="D10" s="1">
        <f t="shared" si="0"/>
        <v>9.6410580332243629</v>
      </c>
      <c r="E10" s="1">
        <f t="shared" si="0"/>
        <v>13.129356419870701</v>
      </c>
      <c r="F10" s="1">
        <f t="shared" si="1"/>
        <v>0.53921568627450978</v>
      </c>
      <c r="G10" s="1">
        <f t="shared" si="2"/>
        <v>0.73431307102251009</v>
      </c>
      <c r="H10" s="2">
        <f t="shared" si="3"/>
        <v>4.0398019753448313</v>
      </c>
    </row>
    <row r="11" spans="1:8" x14ac:dyDescent="0.3">
      <c r="A11">
        <v>180</v>
      </c>
      <c r="B11">
        <v>63</v>
      </c>
      <c r="C11">
        <v>117</v>
      </c>
      <c r="D11" s="1">
        <f t="shared" si="0"/>
        <v>10.318430113151905</v>
      </c>
      <c r="E11" s="1">
        <f t="shared" si="0"/>
        <v>14.06164997430956</v>
      </c>
      <c r="F11" s="1">
        <f t="shared" si="1"/>
        <v>0.53846153846153844</v>
      </c>
      <c r="G11" s="1">
        <f t="shared" si="2"/>
        <v>0.73379938570534287</v>
      </c>
      <c r="H11" s="2">
        <f t="shared" si="3"/>
        <v>4.3266615305567875</v>
      </c>
    </row>
    <row r="12" spans="1:8" x14ac:dyDescent="0.3">
      <c r="A12">
        <v>200</v>
      </c>
      <c r="B12">
        <v>72</v>
      </c>
      <c r="C12">
        <v>133</v>
      </c>
      <c r="D12" s="1">
        <f t="shared" si="0"/>
        <v>11.030865786510141</v>
      </c>
      <c r="E12" s="1">
        <f t="shared" si="0"/>
        <v>14.992331373072036</v>
      </c>
      <c r="F12" s="1">
        <f t="shared" si="1"/>
        <v>0.54135338345864659</v>
      </c>
      <c r="G12" s="1">
        <f t="shared" si="2"/>
        <v>0.73576720738195889</v>
      </c>
      <c r="H12" s="2">
        <f t="shared" si="3"/>
        <v>4.6130250378683186</v>
      </c>
    </row>
    <row r="13" spans="1:8" x14ac:dyDescent="0.3">
      <c r="A13">
        <v>220</v>
      </c>
      <c r="B13">
        <v>80</v>
      </c>
      <c r="C13">
        <v>147</v>
      </c>
      <c r="D13" s="1">
        <f t="shared" si="0"/>
        <v>11.627553482998907</v>
      </c>
      <c r="E13" s="1">
        <f t="shared" si="0"/>
        <v>15.761662348876783</v>
      </c>
      <c r="F13" s="1">
        <f t="shared" si="1"/>
        <v>0.54421768707482998</v>
      </c>
      <c r="G13" s="1">
        <f t="shared" si="2"/>
        <v>0.73771111356331753</v>
      </c>
      <c r="H13" s="2">
        <f t="shared" si="3"/>
        <v>4.8497422611928567</v>
      </c>
    </row>
    <row r="14" spans="1:8" x14ac:dyDescent="0.3">
      <c r="A14">
        <v>240</v>
      </c>
      <c r="B14">
        <v>88</v>
      </c>
      <c r="C14">
        <v>162</v>
      </c>
      <c r="D14" s="1">
        <f t="shared" si="0"/>
        <v>12.195080975540918</v>
      </c>
      <c r="E14" s="1">
        <f t="shared" si="0"/>
        <v>16.546298679765211</v>
      </c>
      <c r="F14" s="1">
        <f t="shared" si="1"/>
        <v>0.54320987654320985</v>
      </c>
      <c r="G14" s="1">
        <f t="shared" si="2"/>
        <v>0.73702773119008902</v>
      </c>
      <c r="H14" s="2">
        <f t="shared" si="3"/>
        <v>5.0911688245431428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CFE6-00EF-468C-9978-C485A73B7C37}">
  <dimension ref="A1:D12"/>
  <sheetViews>
    <sheetView workbookViewId="0">
      <selection activeCell="G20" sqref="G20"/>
    </sheetView>
  </sheetViews>
  <sheetFormatPr defaultRowHeight="14.4" x14ac:dyDescent="0.3"/>
  <sheetData>
    <row r="1" spans="1:4" x14ac:dyDescent="0.3">
      <c r="A1" t="s">
        <v>10</v>
      </c>
      <c r="B1" t="s">
        <v>1</v>
      </c>
      <c r="C1" t="s">
        <v>6</v>
      </c>
      <c r="D1" t="s">
        <v>11</v>
      </c>
    </row>
    <row r="2" spans="1:4" x14ac:dyDescent="0.3">
      <c r="A2">
        <v>0.25</v>
      </c>
      <c r="B2">
        <v>3</v>
      </c>
      <c r="C2" s="1">
        <f>SQRT(B2)*1.3</f>
        <v>2.2516660498395402</v>
      </c>
      <c r="D2" s="1">
        <f>C2/Лист1!$E$4</f>
        <v>0.24019223070763066</v>
      </c>
    </row>
    <row r="3" spans="1:4" x14ac:dyDescent="0.3">
      <c r="A3">
        <v>0.5</v>
      </c>
      <c r="B3">
        <v>10</v>
      </c>
      <c r="C3" s="1">
        <f t="shared" ref="C3:C12" si="0">SQRT(B3)*1.3</f>
        <v>4.110960958218894</v>
      </c>
      <c r="D3" s="1">
        <f>C3/Лист1!$E$4</f>
        <v>0.43852900965351466</v>
      </c>
    </row>
    <row r="4" spans="1:4" x14ac:dyDescent="0.3">
      <c r="A4">
        <v>0.75</v>
      </c>
      <c r="B4">
        <v>18</v>
      </c>
      <c r="C4" s="1">
        <f t="shared" si="0"/>
        <v>5.5154328932550705</v>
      </c>
      <c r="D4" s="1">
        <f>C4/Лист1!$E$4</f>
        <v>0.58834840541455202</v>
      </c>
    </row>
    <row r="5" spans="1:4" x14ac:dyDescent="0.3">
      <c r="A5">
        <v>1</v>
      </c>
      <c r="B5">
        <v>26</v>
      </c>
      <c r="C5" s="1">
        <f t="shared" si="0"/>
        <v>6.6287253676706204</v>
      </c>
      <c r="D5" s="1">
        <f>C5/Лист1!$E$4</f>
        <v>0.70710678118654746</v>
      </c>
    </row>
    <row r="6" spans="1:4" x14ac:dyDescent="0.3">
      <c r="A6">
        <v>1.25</v>
      </c>
      <c r="B6">
        <v>30</v>
      </c>
      <c r="C6" s="1">
        <f t="shared" si="0"/>
        <v>7.1203932475671596</v>
      </c>
      <c r="D6" s="1">
        <f>C6/Лист1!$E$4</f>
        <v>0.75955452531274992</v>
      </c>
    </row>
    <row r="7" spans="1:4" x14ac:dyDescent="0.3">
      <c r="A7">
        <v>1.5</v>
      </c>
      <c r="B7">
        <v>38</v>
      </c>
      <c r="C7" s="1">
        <f t="shared" si="0"/>
        <v>8.0137382038596687</v>
      </c>
      <c r="D7" s="1">
        <f>C7/Лист1!$E$4</f>
        <v>0.85485041426511021</v>
      </c>
    </row>
    <row r="8" spans="1:4" x14ac:dyDescent="0.3">
      <c r="A8">
        <v>2</v>
      </c>
      <c r="B8">
        <v>46</v>
      </c>
      <c r="C8" s="1">
        <f t="shared" si="0"/>
        <v>8.817028978062849</v>
      </c>
      <c r="D8" s="1">
        <f>C8/Лист1!$E$4</f>
        <v>0.94053994312596023</v>
      </c>
    </row>
    <row r="9" spans="1:4" x14ac:dyDescent="0.3">
      <c r="A9">
        <v>2.5</v>
      </c>
      <c r="B9">
        <v>49</v>
      </c>
      <c r="C9" s="1">
        <f t="shared" si="0"/>
        <v>9.1</v>
      </c>
      <c r="D9" s="1">
        <f>C9/Лист1!$E$4</f>
        <v>0.97072534339415084</v>
      </c>
    </row>
    <row r="10" spans="1:4" x14ac:dyDescent="0.3">
      <c r="A10">
        <v>3.25</v>
      </c>
      <c r="B10">
        <v>50</v>
      </c>
      <c r="C10" s="1">
        <f t="shared" si="0"/>
        <v>9.1923881554251192</v>
      </c>
      <c r="D10" s="1">
        <f>C10/Лист1!$E$4</f>
        <v>0.98058067569092022</v>
      </c>
    </row>
    <row r="11" spans="1:4" x14ac:dyDescent="0.3">
      <c r="A11">
        <v>4</v>
      </c>
      <c r="B11">
        <v>50</v>
      </c>
      <c r="C11" s="1">
        <f t="shared" si="0"/>
        <v>9.1923881554251192</v>
      </c>
      <c r="D11" s="1">
        <f>C11/Лист1!$E$4</f>
        <v>0.98058067569092022</v>
      </c>
    </row>
    <row r="12" spans="1:4" x14ac:dyDescent="0.3">
      <c r="A12">
        <v>4.75</v>
      </c>
      <c r="B12">
        <v>50</v>
      </c>
      <c r="C12" s="1">
        <f t="shared" si="0"/>
        <v>9.1923881554251192</v>
      </c>
      <c r="D12" s="1">
        <f>C12/Лист1!$E$4</f>
        <v>0.98058067569092022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FB9E-063E-4634-B66D-66F69258183D}">
  <dimension ref="A1:D21"/>
  <sheetViews>
    <sheetView workbookViewId="0">
      <selection activeCell="C21" sqref="C2:C21"/>
    </sheetView>
  </sheetViews>
  <sheetFormatPr defaultRowHeight="14.4" x14ac:dyDescent="0.3"/>
  <sheetData>
    <row r="1" spans="1:4" x14ac:dyDescent="0.3">
      <c r="A1" t="s">
        <v>10</v>
      </c>
      <c r="B1" t="s">
        <v>1</v>
      </c>
      <c r="C1" t="s">
        <v>6</v>
      </c>
      <c r="D1" t="s">
        <v>11</v>
      </c>
    </row>
    <row r="2" spans="1:4" x14ac:dyDescent="0.3">
      <c r="A2">
        <v>0.25</v>
      </c>
      <c r="B2">
        <v>15</v>
      </c>
      <c r="C2" s="1">
        <f>SQRT(B2)*1.3</f>
        <v>5.0348783500696426</v>
      </c>
      <c r="D2" s="1">
        <f>C2/$C$21</f>
        <v>0.31622776601683794</v>
      </c>
    </row>
    <row r="3" spans="1:4" x14ac:dyDescent="0.3">
      <c r="A3">
        <v>0.5</v>
      </c>
      <c r="B3">
        <v>40</v>
      </c>
      <c r="C3" s="1">
        <f t="shared" ref="C3:C21" si="0">SQRT(B3)*1.3</f>
        <v>8.2219219164377879</v>
      </c>
      <c r="D3" s="1">
        <f t="shared" ref="D3:D21" si="1">C3/$C$21</f>
        <v>0.51639777949432231</v>
      </c>
    </row>
    <row r="4" spans="1:4" x14ac:dyDescent="0.3">
      <c r="A4">
        <v>0.75</v>
      </c>
      <c r="B4">
        <v>53</v>
      </c>
      <c r="C4" s="1">
        <f t="shared" si="0"/>
        <v>9.4641428560646741</v>
      </c>
      <c r="D4" s="1">
        <f t="shared" si="1"/>
        <v>0.59441848333756697</v>
      </c>
    </row>
    <row r="5" spans="1:4" x14ac:dyDescent="0.3">
      <c r="A5">
        <v>1</v>
      </c>
      <c r="B5">
        <v>62</v>
      </c>
      <c r="C5" s="1">
        <f t="shared" si="0"/>
        <v>10.236210236215355</v>
      </c>
      <c r="D5" s="1">
        <f t="shared" si="1"/>
        <v>0.64291005073286367</v>
      </c>
    </row>
    <row r="6" spans="1:4" x14ac:dyDescent="0.3">
      <c r="A6">
        <v>1.25</v>
      </c>
      <c r="B6">
        <v>69</v>
      </c>
      <c r="C6" s="1">
        <f t="shared" si="0"/>
        <v>10.798611021793498</v>
      </c>
      <c r="D6" s="1">
        <f t="shared" si="1"/>
        <v>0.67823299831252681</v>
      </c>
    </row>
    <row r="7" spans="1:4" x14ac:dyDescent="0.3">
      <c r="A7">
        <v>1.5</v>
      </c>
      <c r="B7">
        <v>73</v>
      </c>
      <c r="C7" s="1">
        <f t="shared" si="0"/>
        <v>11.10720486891279</v>
      </c>
      <c r="D7" s="1">
        <f t="shared" si="1"/>
        <v>0.69761498454854487</v>
      </c>
    </row>
    <row r="8" spans="1:4" x14ac:dyDescent="0.3">
      <c r="A8">
        <v>2</v>
      </c>
      <c r="B8">
        <v>80</v>
      </c>
      <c r="C8" s="1">
        <f t="shared" si="0"/>
        <v>11.627553482998907</v>
      </c>
      <c r="D8" s="1">
        <f t="shared" si="1"/>
        <v>0.73029674334022154</v>
      </c>
    </row>
    <row r="9" spans="1:4" x14ac:dyDescent="0.3">
      <c r="A9">
        <v>2.5</v>
      </c>
      <c r="B9">
        <v>86</v>
      </c>
      <c r="C9" s="1">
        <f t="shared" si="0"/>
        <v>12.055704044144415</v>
      </c>
      <c r="D9" s="1">
        <f t="shared" si="1"/>
        <v>0.75718777944003646</v>
      </c>
    </row>
    <row r="10" spans="1:4" x14ac:dyDescent="0.3">
      <c r="A10">
        <v>3.25</v>
      </c>
      <c r="B10">
        <v>95</v>
      </c>
      <c r="C10" s="1">
        <f t="shared" si="0"/>
        <v>12.670832648251652</v>
      </c>
      <c r="D10" s="1">
        <f t="shared" si="1"/>
        <v>0.79582242575422135</v>
      </c>
    </row>
    <row r="11" spans="1:4" x14ac:dyDescent="0.3">
      <c r="A11">
        <v>4</v>
      </c>
      <c r="B11">
        <v>702</v>
      </c>
      <c r="C11" s="1">
        <f t="shared" si="0"/>
        <v>34.443867378678604</v>
      </c>
      <c r="D11" s="1">
        <f t="shared" si="1"/>
        <v>2.1633307652783937</v>
      </c>
    </row>
    <row r="12" spans="1:4" x14ac:dyDescent="0.3">
      <c r="A12">
        <v>4.75</v>
      </c>
      <c r="B12">
        <v>110</v>
      </c>
      <c r="C12" s="1">
        <f t="shared" si="0"/>
        <v>13.63451502621197</v>
      </c>
      <c r="D12" s="1">
        <f t="shared" si="1"/>
        <v>0.85634883857767519</v>
      </c>
    </row>
    <row r="13" spans="1:4" x14ac:dyDescent="0.3">
      <c r="A13">
        <v>5.75</v>
      </c>
      <c r="B13">
        <v>120</v>
      </c>
      <c r="C13" s="1">
        <f t="shared" si="0"/>
        <v>14.240786495134319</v>
      </c>
      <c r="D13" s="1">
        <f t="shared" si="1"/>
        <v>0.89442719099991586</v>
      </c>
    </row>
    <row r="14" spans="1:4" x14ac:dyDescent="0.3">
      <c r="A14">
        <v>6.75</v>
      </c>
      <c r="B14">
        <v>129</v>
      </c>
      <c r="C14" s="1">
        <f t="shared" si="0"/>
        <v>14.765161699080712</v>
      </c>
      <c r="D14" s="1">
        <f t="shared" si="1"/>
        <v>0.92736184954957035</v>
      </c>
    </row>
    <row r="15" spans="1:4" x14ac:dyDescent="0.3">
      <c r="A15">
        <v>8</v>
      </c>
      <c r="B15">
        <v>138</v>
      </c>
      <c r="C15" s="1">
        <f t="shared" si="0"/>
        <v>15.271542161811949</v>
      </c>
      <c r="D15" s="1">
        <f t="shared" si="1"/>
        <v>0.95916630466254382</v>
      </c>
    </row>
    <row r="16" spans="1:4" x14ac:dyDescent="0.3">
      <c r="A16">
        <v>9.5</v>
      </c>
      <c r="B16">
        <v>142</v>
      </c>
      <c r="C16" s="1">
        <f t="shared" si="0"/>
        <v>15.49128787415688</v>
      </c>
      <c r="D16" s="1">
        <f t="shared" si="1"/>
        <v>0.97296796795509488</v>
      </c>
    </row>
    <row r="17" spans="1:4" x14ac:dyDescent="0.3">
      <c r="A17">
        <v>11</v>
      </c>
      <c r="B17">
        <v>146</v>
      </c>
      <c r="C17" s="1">
        <f t="shared" si="0"/>
        <v>15.707959765672944</v>
      </c>
      <c r="D17" s="1">
        <f t="shared" si="1"/>
        <v>0.98657657246324948</v>
      </c>
    </row>
    <row r="18" spans="1:4" x14ac:dyDescent="0.3">
      <c r="A18">
        <v>13</v>
      </c>
      <c r="B18">
        <v>148</v>
      </c>
      <c r="C18" s="1">
        <f t="shared" si="0"/>
        <v>15.815182578775371</v>
      </c>
      <c r="D18" s="1">
        <f t="shared" si="1"/>
        <v>0.99331096171675592</v>
      </c>
    </row>
    <row r="19" spans="1:4" x14ac:dyDescent="0.3">
      <c r="A19">
        <v>15</v>
      </c>
      <c r="B19">
        <v>150</v>
      </c>
      <c r="C19" s="1">
        <f t="shared" si="0"/>
        <v>15.921683328090658</v>
      </c>
      <c r="D19" s="1">
        <f t="shared" si="1"/>
        <v>1</v>
      </c>
    </row>
    <row r="20" spans="1:4" x14ac:dyDescent="0.3">
      <c r="A20">
        <v>17</v>
      </c>
      <c r="B20">
        <v>150</v>
      </c>
      <c r="C20" s="1">
        <f t="shared" si="0"/>
        <v>15.921683328090658</v>
      </c>
      <c r="D20" s="1">
        <f t="shared" si="1"/>
        <v>1</v>
      </c>
    </row>
    <row r="21" spans="1:4" x14ac:dyDescent="0.3">
      <c r="A21">
        <v>19</v>
      </c>
      <c r="B21">
        <v>150</v>
      </c>
      <c r="C21" s="1">
        <f t="shared" si="0"/>
        <v>15.921683328090658</v>
      </c>
      <c r="D21" s="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2026-05-21T16:42:10Z</dcterms:created>
  <dcterms:modified xsi:type="dcterms:W3CDTF">2026-05-21T17:39:48Z</dcterms:modified>
</cp:coreProperties>
</file>