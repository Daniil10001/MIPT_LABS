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SBM\"/>
    </mc:Choice>
  </mc:AlternateContent>
  <xr:revisionPtr revIDLastSave="0" documentId="13_ncr:1_{8CF5294C-65A1-475C-B3E9-070EEF8EA048}" xr6:coauthVersionLast="47" xr6:coauthVersionMax="47" xr10:uidLastSave="{00000000-0000-0000-0000-000000000000}"/>
  <bookViews>
    <workbookView xWindow="-108" yWindow="-108" windowWidth="23256" windowHeight="12576" xr2:uid="{DAAA85AB-906B-41C3-A9BF-FBB80CF713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Q3" i="1"/>
  <c r="Q4" i="1"/>
  <c r="Q5" i="1"/>
  <c r="Q6" i="1"/>
  <c r="Q7" i="1"/>
  <c r="Q8" i="1"/>
  <c r="Q2" i="1"/>
  <c r="N3" i="1"/>
  <c r="O3" i="1"/>
  <c r="N4" i="1"/>
  <c r="O4" i="1"/>
  <c r="N5" i="1"/>
  <c r="O5" i="1"/>
  <c r="N6" i="1"/>
  <c r="O6" i="1"/>
  <c r="N7" i="1"/>
  <c r="O7" i="1"/>
  <c r="N8" i="1"/>
  <c r="O8" i="1"/>
  <c r="O2" i="1"/>
  <c r="N2" i="1"/>
  <c r="M3" i="1"/>
  <c r="M4" i="1"/>
  <c r="M5" i="1"/>
  <c r="M6" i="1"/>
  <c r="M7" i="1"/>
  <c r="M8" i="1"/>
  <c r="M2" i="1"/>
  <c r="I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K2" i="1"/>
  <c r="J2" i="1"/>
  <c r="XFD2" i="1"/>
  <c r="I2" i="1"/>
</calcChain>
</file>

<file path=xl/sharedStrings.xml><?xml version="1.0" encoding="utf-8"?>
<sst xmlns="http://schemas.openxmlformats.org/spreadsheetml/2006/main" count="16" uniqueCount="16">
  <si>
    <t>phi</t>
  </si>
  <si>
    <t>h1</t>
  </si>
  <si>
    <t>F1</t>
  </si>
  <si>
    <t>h2</t>
  </si>
  <si>
    <t>F2</t>
  </si>
  <si>
    <t>h3</t>
  </si>
  <si>
    <t>F3</t>
  </si>
  <si>
    <t>Толщина</t>
  </si>
  <si>
    <t>2 мм</t>
  </si>
  <si>
    <t>σ3</t>
  </si>
  <si>
    <t>σ2</t>
  </si>
  <si>
    <t>σ1</t>
  </si>
  <si>
    <t>&lt;σ/σ_0&gt;</t>
  </si>
  <si>
    <t>s1n</t>
  </si>
  <si>
    <t>s2n</t>
  </si>
  <si>
    <t>s3n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</si>
</sst>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9"/>
      <color rgb="FF202122"/>
      <name val="Palatino Linotype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464820</xdr:colOff>
      <xdr:row>11</xdr:row>
      <xdr:rowOff>156210</xdr:rowOff>
    </xdr:from>
    <xdr:ext cx="65" cy="3444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666B13-7B6F-4A9D-BAAB-00E6D900952E}"/>
            </a:ext>
          </a:extLst>
        </xdr:cNvPr>
        <xdr:cNvSpPr txBox="1"/>
      </xdr:nvSpPr>
      <xdr:spPr>
        <a:xfrm>
          <a:off x="5341620" y="216789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>
            <a:ea typeface="Cambria Math" panose="02040503050406030204" pitchFamily="18" charset="0"/>
          </a:endParaRPr>
        </a:p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9A6C-FDAA-4EC0-B8DA-1633E30FE25E}">
  <dimension ref="A1:XFD8"/>
  <sheetViews>
    <sheetView tabSelected="1" workbookViewId="0">
      <selection activeCell="M21" sqref="M21"/>
    </sheetView>
  </sheetViews>
  <sheetFormatPr defaultRowHeight="14.4" x14ac:dyDescent="0.3"/>
  <sheetData>
    <row r="1" spans="1:20 16384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11</v>
      </c>
      <c r="J1" t="s">
        <v>10</v>
      </c>
      <c r="K1" t="s">
        <v>9</v>
      </c>
      <c r="L1" s="1"/>
      <c r="M1" t="s">
        <v>13</v>
      </c>
      <c r="N1" t="s">
        <v>14</v>
      </c>
      <c r="O1" t="s">
        <v>15</v>
      </c>
      <c r="Q1" t="s">
        <v>12</v>
      </c>
      <c r="S1" t="s">
        <v>7</v>
      </c>
      <c r="T1" t="s">
        <v>8</v>
      </c>
    </row>
    <row r="2" spans="1:20 16384:16384" x14ac:dyDescent="0.3">
      <c r="A2">
        <v>0</v>
      </c>
      <c r="B2">
        <v>22.6</v>
      </c>
      <c r="C2">
        <v>236</v>
      </c>
      <c r="D2">
        <v>23.1</v>
      </c>
      <c r="E2">
        <v>188</v>
      </c>
      <c r="F2">
        <v>22.1</v>
      </c>
      <c r="G2">
        <v>183</v>
      </c>
      <c r="I2">
        <f>C2/(B2*2)</f>
        <v>5.221238938053097</v>
      </c>
      <c r="J2">
        <f>E2/(D2*2)</f>
        <v>4.0692640692640687</v>
      </c>
      <c r="K2">
        <f>G2/(F2*2)</f>
        <v>4.1402714932126692</v>
      </c>
      <c r="M2">
        <f>I2/$I$2</f>
        <v>1</v>
      </c>
      <c r="N2">
        <f>J2/$J$2</f>
        <v>1</v>
      </c>
      <c r="O2">
        <f>K2/$K$2</f>
        <v>1</v>
      </c>
      <c r="Q2">
        <f>AVERAGE(M2:O2)</f>
        <v>1</v>
      </c>
      <c r="XFD2" t="e">
        <f>XEX2/(XEW2*2)</f>
        <v>#DIV/0!</v>
      </c>
    </row>
    <row r="3" spans="1:20 16384:16384" x14ac:dyDescent="0.3">
      <c r="A3">
        <v>15</v>
      </c>
      <c r="B3">
        <v>23.2</v>
      </c>
      <c r="C3">
        <v>220</v>
      </c>
      <c r="D3">
        <v>22.8</v>
      </c>
      <c r="E3">
        <v>162</v>
      </c>
      <c r="F3">
        <v>23.6</v>
      </c>
      <c r="G3">
        <v>178</v>
      </c>
      <c r="I3">
        <f t="shared" ref="I3:I8" si="0">C3/(B3*2)</f>
        <v>4.7413793103448274</v>
      </c>
      <c r="J3">
        <f>E3/(D3*2)</f>
        <v>3.5526315789473681</v>
      </c>
      <c r="K3">
        <f t="shared" ref="K3:K8" si="1">G3/(F3*2)</f>
        <v>3.7711864406779658</v>
      </c>
      <c r="M3">
        <f t="shared" ref="M3:M8" si="2">I3/$I$2</f>
        <v>0.90809468147282291</v>
      </c>
      <c r="N3">
        <f t="shared" ref="N3:N8" si="3">J3/$J$2</f>
        <v>0.87304031354983203</v>
      </c>
      <c r="O3">
        <f t="shared" ref="O3:O8" si="4">K3/$K$2</f>
        <v>0.91085486709271102</v>
      </c>
      <c r="Q3">
        <f t="shared" ref="Q3:Q8" si="5">AVERAGE(M3:O3)</f>
        <v>0.89732995403845539</v>
      </c>
    </row>
    <row r="4" spans="1:20 16384:16384" x14ac:dyDescent="0.3">
      <c r="A4">
        <v>30</v>
      </c>
      <c r="B4">
        <v>23</v>
      </c>
      <c r="C4">
        <v>205</v>
      </c>
      <c r="D4">
        <v>23.4</v>
      </c>
      <c r="E4">
        <v>155</v>
      </c>
      <c r="F4">
        <v>23.1</v>
      </c>
      <c r="G4">
        <v>144</v>
      </c>
      <c r="I4">
        <f t="shared" si="0"/>
        <v>4.4565217391304346</v>
      </c>
      <c r="J4">
        <f t="shared" ref="J3:J8" si="6">E4/(D4*2)</f>
        <v>3.3119658119658122</v>
      </c>
      <c r="K4">
        <f t="shared" si="1"/>
        <v>3.1168831168831166</v>
      </c>
      <c r="M4">
        <f t="shared" si="2"/>
        <v>0.85353721444362562</v>
      </c>
      <c r="N4">
        <f t="shared" si="3"/>
        <v>0.81389798145117309</v>
      </c>
      <c r="O4">
        <f t="shared" si="4"/>
        <v>0.75282094954226109</v>
      </c>
      <c r="Q4">
        <f t="shared" si="5"/>
        <v>0.80675204847901993</v>
      </c>
    </row>
    <row r="5" spans="1:20 16384:16384" x14ac:dyDescent="0.3">
      <c r="A5">
        <v>45</v>
      </c>
      <c r="B5">
        <v>23.9</v>
      </c>
      <c r="C5">
        <v>201</v>
      </c>
      <c r="D5">
        <v>22.3</v>
      </c>
      <c r="E5">
        <v>127</v>
      </c>
      <c r="F5">
        <v>22.7</v>
      </c>
      <c r="G5">
        <v>110</v>
      </c>
      <c r="I5">
        <f t="shared" si="0"/>
        <v>4.2050209205020925</v>
      </c>
      <c r="J5">
        <f t="shared" si="6"/>
        <v>2.8475336322869955</v>
      </c>
      <c r="K5">
        <f t="shared" si="1"/>
        <v>2.4229074889867843</v>
      </c>
      <c r="M5">
        <f t="shared" si="2"/>
        <v>0.80536841358768896</v>
      </c>
      <c r="N5">
        <f t="shared" si="3"/>
        <v>0.69976624367903839</v>
      </c>
      <c r="O5">
        <f t="shared" si="4"/>
        <v>0.5852049782142944</v>
      </c>
      <c r="Q5">
        <f t="shared" si="5"/>
        <v>0.69677987849367395</v>
      </c>
    </row>
    <row r="6" spans="1:20 16384:16384" x14ac:dyDescent="0.3">
      <c r="A6">
        <v>60</v>
      </c>
      <c r="B6">
        <v>22.6</v>
      </c>
      <c r="C6">
        <v>178</v>
      </c>
      <c r="D6">
        <v>23.8</v>
      </c>
      <c r="E6">
        <v>155</v>
      </c>
      <c r="F6">
        <v>21.9</v>
      </c>
      <c r="G6">
        <v>102</v>
      </c>
      <c r="I6">
        <f t="shared" si="0"/>
        <v>3.9380530973451324</v>
      </c>
      <c r="J6">
        <f t="shared" si="6"/>
        <v>3.2563025210084033</v>
      </c>
      <c r="K6">
        <f t="shared" si="1"/>
        <v>2.3287671232876712</v>
      </c>
      <c r="M6">
        <f t="shared" si="2"/>
        <v>0.75423728813559321</v>
      </c>
      <c r="N6">
        <f t="shared" si="3"/>
        <v>0.80021902377972476</v>
      </c>
      <c r="O6">
        <f t="shared" si="4"/>
        <v>0.56246725054270541</v>
      </c>
      <c r="Q6">
        <f t="shared" si="5"/>
        <v>0.7056411874860079</v>
      </c>
    </row>
    <row r="7" spans="1:20 16384:16384" x14ac:dyDescent="0.3">
      <c r="A7">
        <v>75</v>
      </c>
      <c r="B7">
        <v>22.1</v>
      </c>
      <c r="C7">
        <v>188</v>
      </c>
      <c r="D7">
        <v>21.8</v>
      </c>
      <c r="E7">
        <v>98</v>
      </c>
      <c r="F7">
        <v>22.1</v>
      </c>
      <c r="G7">
        <v>99</v>
      </c>
      <c r="I7">
        <f t="shared" si="0"/>
        <v>4.253393665158371</v>
      </c>
      <c r="J7">
        <f t="shared" si="6"/>
        <v>2.2477064220183487</v>
      </c>
      <c r="K7">
        <f t="shared" si="1"/>
        <v>2.2398190045248869</v>
      </c>
      <c r="M7">
        <f t="shared" si="2"/>
        <v>0.81463302400490845</v>
      </c>
      <c r="N7">
        <f t="shared" si="3"/>
        <v>0.55236189732578578</v>
      </c>
      <c r="O7">
        <f t="shared" si="4"/>
        <v>0.54098360655737709</v>
      </c>
      <c r="Q7">
        <f t="shared" si="5"/>
        <v>0.63599284262935718</v>
      </c>
    </row>
    <row r="8" spans="1:20 16384:16384" x14ac:dyDescent="0.3">
      <c r="A8">
        <v>90</v>
      </c>
      <c r="B8">
        <v>22.7</v>
      </c>
      <c r="C8">
        <v>175</v>
      </c>
      <c r="D8">
        <v>23.3</v>
      </c>
      <c r="E8">
        <v>110</v>
      </c>
      <c r="F8">
        <v>23.2</v>
      </c>
      <c r="G8">
        <v>111</v>
      </c>
      <c r="I8">
        <f t="shared" si="0"/>
        <v>3.8546255506607929</v>
      </c>
      <c r="J8">
        <f t="shared" si="6"/>
        <v>2.3605150214592272</v>
      </c>
      <c r="K8">
        <f t="shared" si="1"/>
        <v>2.3922413793103448</v>
      </c>
      <c r="M8">
        <f t="shared" si="2"/>
        <v>0.73825879190621968</v>
      </c>
      <c r="N8">
        <f t="shared" si="3"/>
        <v>0.58008401059263992</v>
      </c>
      <c r="O8">
        <f t="shared" si="4"/>
        <v>0.57779819106840025</v>
      </c>
      <c r="Q8">
        <f t="shared" si="5"/>
        <v>0.63204699785575336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Daniil</cp:lastModifiedBy>
  <dcterms:created xsi:type="dcterms:W3CDTF">2025-09-26T03:22:53Z</dcterms:created>
  <dcterms:modified xsi:type="dcterms:W3CDTF">2025-09-29T21:59:37Z</dcterms:modified>
</cp:coreProperties>
</file>